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доэф дз\"/>
    </mc:Choice>
  </mc:AlternateContent>
  <xr:revisionPtr revIDLastSave="0" documentId="13_ncr:1_{F5465304-1F94-4381-AF92-A4A5ACA0C4BD}" xr6:coauthVersionLast="47" xr6:coauthVersionMax="47" xr10:uidLastSave="{00000000-0000-0000-0000-000000000000}"/>
  <bookViews>
    <workbookView xWindow="11424" yWindow="0" windowWidth="11712" windowHeight="12336" firstSheet="1" activeTab="4" xr2:uid="{B1D52963-D0FD-4644-B28B-54124238464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solver_adj" localSheetId="0" hidden="1">Sheet1!$D$2:$E$49</definedName>
    <definedName name="solver_adj" localSheetId="1" hidden="1">Sheet2!$D$2:$E$49</definedName>
    <definedName name="solver_adj" localSheetId="2" hidden="1">Sheet3!$D$2:$E$49</definedName>
    <definedName name="solver_adj" localSheetId="3" hidden="1">Sheet4!$D$2:$E$49</definedName>
    <definedName name="solver_adj" localSheetId="4" hidden="1">Sheet5!$D$2:$E$49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Sheet1!$F$2:$F$49</definedName>
    <definedName name="solver_lhs1" localSheetId="1" hidden="1">Sheet2!$F$2:$F$49</definedName>
    <definedName name="solver_lhs1" localSheetId="2" hidden="1">Sheet3!$F$2:$F$49</definedName>
    <definedName name="solver_lhs1" localSheetId="3" hidden="1">Sheet4!$F$2:$F$49</definedName>
    <definedName name="solver_lhs1" localSheetId="4" hidden="1">Sheet5!$F$2:$F$49</definedName>
    <definedName name="solver_lhs2" localSheetId="0" hidden="1">Sheet1!$G$2:$G$49</definedName>
    <definedName name="solver_lhs2" localSheetId="1" hidden="1">Sheet2!$G$2:$G$49</definedName>
    <definedName name="solver_lhs2" localSheetId="2" hidden="1">Sheet3!$F$2:$F$49</definedName>
    <definedName name="solver_lhs2" localSheetId="3" hidden="1">Sheet4!$G$2:$G$49</definedName>
    <definedName name="solver_lhs2" localSheetId="4" hidden="1">Sheet5!$G$2:$G$49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Sheet1!$K$11</definedName>
    <definedName name="solver_opt" localSheetId="1" hidden="1">Sheet2!$K$11</definedName>
    <definedName name="solver_opt" localSheetId="2" hidden="1">Sheet3!$K$11</definedName>
    <definedName name="solver_opt" localSheetId="3" hidden="1">Sheet4!$K$11</definedName>
    <definedName name="solver_opt" localSheetId="4" hidden="1">Sheet5!$K$11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2" localSheetId="0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hs1" localSheetId="0" hidden="1">0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" localSheetId="4" hidden="1">0</definedName>
    <definedName name="solver_rhs2" localSheetId="0" hidden="1">0</definedName>
    <definedName name="solver_rhs2" localSheetId="1" hidden="1">0</definedName>
    <definedName name="solver_rhs2" localSheetId="2" hidden="1">0</definedName>
    <definedName name="solver_rhs2" localSheetId="3" hidden="1">0</definedName>
    <definedName name="solver_rhs2" localSheetId="4" hidden="1">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3" i="3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I50" i="5"/>
  <c r="H50" i="5"/>
  <c r="C50" i="5"/>
  <c r="B50" i="5"/>
  <c r="H49" i="5"/>
  <c r="C49" i="5"/>
  <c r="B49" i="5"/>
  <c r="H48" i="5"/>
  <c r="C48" i="5"/>
  <c r="B48" i="5"/>
  <c r="H47" i="5"/>
  <c r="C47" i="5"/>
  <c r="B47" i="5"/>
  <c r="H46" i="5"/>
  <c r="C46" i="5"/>
  <c r="B46" i="5"/>
  <c r="H45" i="5"/>
  <c r="C45" i="5"/>
  <c r="B45" i="5"/>
  <c r="H44" i="5"/>
  <c r="C44" i="5"/>
  <c r="B44" i="5"/>
  <c r="H43" i="5"/>
  <c r="C43" i="5"/>
  <c r="B43" i="5"/>
  <c r="H42" i="5"/>
  <c r="C42" i="5"/>
  <c r="B42" i="5"/>
  <c r="H41" i="5"/>
  <c r="C41" i="5"/>
  <c r="B41" i="5"/>
  <c r="H40" i="5"/>
  <c r="C40" i="5"/>
  <c r="B40" i="5"/>
  <c r="H39" i="5"/>
  <c r="C39" i="5"/>
  <c r="B39" i="5"/>
  <c r="H38" i="5"/>
  <c r="C38" i="5"/>
  <c r="B38" i="5"/>
  <c r="H37" i="5"/>
  <c r="C37" i="5"/>
  <c r="B37" i="5"/>
  <c r="H36" i="5"/>
  <c r="C36" i="5"/>
  <c r="B36" i="5"/>
  <c r="H35" i="5"/>
  <c r="C35" i="5"/>
  <c r="B35" i="5"/>
  <c r="H34" i="5"/>
  <c r="C34" i="5"/>
  <c r="B34" i="5"/>
  <c r="H33" i="5"/>
  <c r="C33" i="5"/>
  <c r="B33" i="5"/>
  <c r="H32" i="5"/>
  <c r="C32" i="5"/>
  <c r="B32" i="5"/>
  <c r="H31" i="5"/>
  <c r="C31" i="5"/>
  <c r="B31" i="5"/>
  <c r="H30" i="5"/>
  <c r="C30" i="5"/>
  <c r="B30" i="5"/>
  <c r="H29" i="5"/>
  <c r="C29" i="5"/>
  <c r="B29" i="5"/>
  <c r="H28" i="5"/>
  <c r="C28" i="5"/>
  <c r="B28" i="5"/>
  <c r="H27" i="5"/>
  <c r="C27" i="5"/>
  <c r="B27" i="5"/>
  <c r="H26" i="5"/>
  <c r="C26" i="5"/>
  <c r="B26" i="5"/>
  <c r="H25" i="5"/>
  <c r="C25" i="5"/>
  <c r="B25" i="5"/>
  <c r="H24" i="5"/>
  <c r="C24" i="5"/>
  <c r="B24" i="5"/>
  <c r="H23" i="5"/>
  <c r="C23" i="5"/>
  <c r="B23" i="5"/>
  <c r="H22" i="5"/>
  <c r="C22" i="5"/>
  <c r="B22" i="5"/>
  <c r="H21" i="5"/>
  <c r="C21" i="5"/>
  <c r="B21" i="5"/>
  <c r="H20" i="5"/>
  <c r="C20" i="5"/>
  <c r="B20" i="5"/>
  <c r="H19" i="5"/>
  <c r="C19" i="5"/>
  <c r="B19" i="5"/>
  <c r="H18" i="5"/>
  <c r="C18" i="5"/>
  <c r="B18" i="5"/>
  <c r="H17" i="5"/>
  <c r="C17" i="5"/>
  <c r="B17" i="5"/>
  <c r="H16" i="5"/>
  <c r="C16" i="5"/>
  <c r="B16" i="5"/>
  <c r="H15" i="5"/>
  <c r="C15" i="5"/>
  <c r="B15" i="5"/>
  <c r="H14" i="5"/>
  <c r="C14" i="5"/>
  <c r="B14" i="5"/>
  <c r="H13" i="5"/>
  <c r="C13" i="5"/>
  <c r="B13" i="5"/>
  <c r="H12" i="5"/>
  <c r="C12" i="5"/>
  <c r="B12" i="5"/>
  <c r="H11" i="5"/>
  <c r="C11" i="5"/>
  <c r="B11" i="5"/>
  <c r="H10" i="5"/>
  <c r="C10" i="5"/>
  <c r="B10" i="5"/>
  <c r="H9" i="5"/>
  <c r="C9" i="5"/>
  <c r="B9" i="5"/>
  <c r="H8" i="5"/>
  <c r="C8" i="5"/>
  <c r="B8" i="5"/>
  <c r="H7" i="5"/>
  <c r="C7" i="5"/>
  <c r="B7" i="5"/>
  <c r="H6" i="5"/>
  <c r="C6" i="5"/>
  <c r="B6" i="5"/>
  <c r="H5" i="5"/>
  <c r="C5" i="5"/>
  <c r="B5" i="5"/>
  <c r="H4" i="5"/>
  <c r="C4" i="5"/>
  <c r="B4" i="5"/>
  <c r="H3" i="5"/>
  <c r="F3" i="5"/>
  <c r="F4" i="5" s="1"/>
  <c r="C3" i="5"/>
  <c r="B3" i="5"/>
  <c r="H2" i="5"/>
  <c r="G2" i="5"/>
  <c r="G3" i="5" s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F2" i="5"/>
  <c r="C2" i="5"/>
  <c r="B2" i="5"/>
  <c r="I50" i="4"/>
  <c r="H50" i="4"/>
  <c r="C50" i="4"/>
  <c r="B50" i="4"/>
  <c r="H49" i="4"/>
  <c r="C49" i="4"/>
  <c r="B49" i="4"/>
  <c r="H48" i="4"/>
  <c r="C48" i="4"/>
  <c r="B48" i="4"/>
  <c r="H47" i="4"/>
  <c r="C47" i="4"/>
  <c r="B47" i="4"/>
  <c r="H46" i="4"/>
  <c r="C46" i="4"/>
  <c r="B46" i="4"/>
  <c r="H45" i="4"/>
  <c r="C45" i="4"/>
  <c r="B45" i="4"/>
  <c r="H44" i="4"/>
  <c r="C44" i="4"/>
  <c r="B44" i="4"/>
  <c r="H43" i="4"/>
  <c r="C43" i="4"/>
  <c r="B43" i="4"/>
  <c r="H42" i="4"/>
  <c r="C42" i="4"/>
  <c r="B42" i="4"/>
  <c r="H41" i="4"/>
  <c r="C41" i="4"/>
  <c r="B41" i="4"/>
  <c r="H40" i="4"/>
  <c r="C40" i="4"/>
  <c r="B40" i="4"/>
  <c r="H39" i="4"/>
  <c r="C39" i="4"/>
  <c r="B39" i="4"/>
  <c r="H38" i="4"/>
  <c r="C38" i="4"/>
  <c r="B38" i="4"/>
  <c r="H37" i="4"/>
  <c r="C37" i="4"/>
  <c r="B37" i="4"/>
  <c r="H36" i="4"/>
  <c r="C36" i="4"/>
  <c r="B36" i="4"/>
  <c r="H35" i="4"/>
  <c r="C35" i="4"/>
  <c r="B35" i="4"/>
  <c r="H34" i="4"/>
  <c r="C34" i="4"/>
  <c r="B34" i="4"/>
  <c r="H33" i="4"/>
  <c r="C33" i="4"/>
  <c r="B33" i="4"/>
  <c r="H32" i="4"/>
  <c r="C32" i="4"/>
  <c r="B32" i="4"/>
  <c r="H31" i="4"/>
  <c r="C31" i="4"/>
  <c r="B31" i="4"/>
  <c r="H30" i="4"/>
  <c r="C30" i="4"/>
  <c r="B30" i="4"/>
  <c r="H29" i="4"/>
  <c r="C29" i="4"/>
  <c r="B29" i="4"/>
  <c r="H28" i="4"/>
  <c r="C28" i="4"/>
  <c r="B28" i="4"/>
  <c r="H27" i="4"/>
  <c r="C27" i="4"/>
  <c r="B27" i="4"/>
  <c r="H26" i="4"/>
  <c r="C26" i="4"/>
  <c r="B26" i="4"/>
  <c r="H25" i="4"/>
  <c r="C25" i="4"/>
  <c r="B25" i="4"/>
  <c r="H24" i="4"/>
  <c r="C24" i="4"/>
  <c r="B24" i="4"/>
  <c r="H23" i="4"/>
  <c r="C23" i="4"/>
  <c r="B23" i="4"/>
  <c r="H22" i="4"/>
  <c r="C22" i="4"/>
  <c r="B22" i="4"/>
  <c r="H21" i="4"/>
  <c r="C21" i="4"/>
  <c r="B21" i="4"/>
  <c r="H20" i="4"/>
  <c r="C20" i="4"/>
  <c r="B20" i="4"/>
  <c r="H19" i="4"/>
  <c r="C19" i="4"/>
  <c r="B19" i="4"/>
  <c r="H18" i="4"/>
  <c r="C18" i="4"/>
  <c r="B18" i="4"/>
  <c r="H17" i="4"/>
  <c r="C17" i="4"/>
  <c r="B17" i="4"/>
  <c r="H16" i="4"/>
  <c r="C16" i="4"/>
  <c r="B16" i="4"/>
  <c r="H15" i="4"/>
  <c r="C15" i="4"/>
  <c r="B15" i="4"/>
  <c r="H14" i="4"/>
  <c r="C14" i="4"/>
  <c r="B14" i="4"/>
  <c r="H13" i="4"/>
  <c r="C13" i="4"/>
  <c r="B13" i="4"/>
  <c r="H12" i="4"/>
  <c r="C12" i="4"/>
  <c r="B12" i="4"/>
  <c r="H11" i="4"/>
  <c r="C11" i="4"/>
  <c r="B11" i="4"/>
  <c r="H10" i="4"/>
  <c r="C10" i="4"/>
  <c r="B10" i="4"/>
  <c r="H9" i="4"/>
  <c r="C9" i="4"/>
  <c r="B9" i="4"/>
  <c r="H8" i="4"/>
  <c r="C8" i="4"/>
  <c r="B8" i="4"/>
  <c r="H7" i="4"/>
  <c r="C7" i="4"/>
  <c r="B7" i="4"/>
  <c r="H6" i="4"/>
  <c r="C6" i="4"/>
  <c r="B6" i="4"/>
  <c r="H5" i="4"/>
  <c r="C5" i="4"/>
  <c r="B5" i="4"/>
  <c r="H4" i="4"/>
  <c r="C4" i="4"/>
  <c r="B4" i="4"/>
  <c r="H3" i="4"/>
  <c r="F3" i="4"/>
  <c r="F4" i="4" s="1"/>
  <c r="C3" i="4"/>
  <c r="B3" i="4"/>
  <c r="H2" i="4"/>
  <c r="G2" i="4"/>
  <c r="G3" i="4" s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F2" i="4"/>
  <c r="C2" i="4"/>
  <c r="B2" i="4"/>
  <c r="I50" i="3"/>
  <c r="H50" i="3"/>
  <c r="C50" i="3"/>
  <c r="B50" i="3"/>
  <c r="H49" i="3"/>
  <c r="C49" i="3"/>
  <c r="B49" i="3"/>
  <c r="H48" i="3"/>
  <c r="C48" i="3"/>
  <c r="B48" i="3"/>
  <c r="H47" i="3"/>
  <c r="C47" i="3"/>
  <c r="B47" i="3"/>
  <c r="H46" i="3"/>
  <c r="C46" i="3"/>
  <c r="B46" i="3"/>
  <c r="H45" i="3"/>
  <c r="C45" i="3"/>
  <c r="B45" i="3"/>
  <c r="H44" i="3"/>
  <c r="C44" i="3"/>
  <c r="B44" i="3"/>
  <c r="H43" i="3"/>
  <c r="C43" i="3"/>
  <c r="B43" i="3"/>
  <c r="H42" i="3"/>
  <c r="C42" i="3"/>
  <c r="B42" i="3"/>
  <c r="H41" i="3"/>
  <c r="C41" i="3"/>
  <c r="B41" i="3"/>
  <c r="H40" i="3"/>
  <c r="C40" i="3"/>
  <c r="B40" i="3"/>
  <c r="H39" i="3"/>
  <c r="C39" i="3"/>
  <c r="B39" i="3"/>
  <c r="H38" i="3"/>
  <c r="C38" i="3"/>
  <c r="B38" i="3"/>
  <c r="H37" i="3"/>
  <c r="C37" i="3"/>
  <c r="B37" i="3"/>
  <c r="H36" i="3"/>
  <c r="C36" i="3"/>
  <c r="B36" i="3"/>
  <c r="H35" i="3"/>
  <c r="C35" i="3"/>
  <c r="B35" i="3"/>
  <c r="H34" i="3"/>
  <c r="C34" i="3"/>
  <c r="B34" i="3"/>
  <c r="H33" i="3"/>
  <c r="C33" i="3"/>
  <c r="B33" i="3"/>
  <c r="H32" i="3"/>
  <c r="C32" i="3"/>
  <c r="B32" i="3"/>
  <c r="H31" i="3"/>
  <c r="C31" i="3"/>
  <c r="B31" i="3"/>
  <c r="H30" i="3"/>
  <c r="C30" i="3"/>
  <c r="B30" i="3"/>
  <c r="H29" i="3"/>
  <c r="C29" i="3"/>
  <c r="B29" i="3"/>
  <c r="H28" i="3"/>
  <c r="C28" i="3"/>
  <c r="B28" i="3"/>
  <c r="H27" i="3"/>
  <c r="C27" i="3"/>
  <c r="B27" i="3"/>
  <c r="H26" i="3"/>
  <c r="C26" i="3"/>
  <c r="B26" i="3"/>
  <c r="H25" i="3"/>
  <c r="C25" i="3"/>
  <c r="B25" i="3"/>
  <c r="H24" i="3"/>
  <c r="C24" i="3"/>
  <c r="B24" i="3"/>
  <c r="H23" i="3"/>
  <c r="C23" i="3"/>
  <c r="B23" i="3"/>
  <c r="H22" i="3"/>
  <c r="C22" i="3"/>
  <c r="B22" i="3"/>
  <c r="H21" i="3"/>
  <c r="C21" i="3"/>
  <c r="B21" i="3"/>
  <c r="H20" i="3"/>
  <c r="C20" i="3"/>
  <c r="B20" i="3"/>
  <c r="H19" i="3"/>
  <c r="C19" i="3"/>
  <c r="B19" i="3"/>
  <c r="H18" i="3"/>
  <c r="C18" i="3"/>
  <c r="B18" i="3"/>
  <c r="H17" i="3"/>
  <c r="C17" i="3"/>
  <c r="B17" i="3"/>
  <c r="H16" i="3"/>
  <c r="C16" i="3"/>
  <c r="B16" i="3"/>
  <c r="H15" i="3"/>
  <c r="C15" i="3"/>
  <c r="B15" i="3"/>
  <c r="H14" i="3"/>
  <c r="C14" i="3"/>
  <c r="B14" i="3"/>
  <c r="H13" i="3"/>
  <c r="C13" i="3"/>
  <c r="B13" i="3"/>
  <c r="H12" i="3"/>
  <c r="C12" i="3"/>
  <c r="B12" i="3"/>
  <c r="H11" i="3"/>
  <c r="C11" i="3"/>
  <c r="B11" i="3"/>
  <c r="H10" i="3"/>
  <c r="C10" i="3"/>
  <c r="B10" i="3"/>
  <c r="H9" i="3"/>
  <c r="C9" i="3"/>
  <c r="B9" i="3"/>
  <c r="H8" i="3"/>
  <c r="C8" i="3"/>
  <c r="B8" i="3"/>
  <c r="H7" i="3"/>
  <c r="C7" i="3"/>
  <c r="B7" i="3"/>
  <c r="H6" i="3"/>
  <c r="C6" i="3"/>
  <c r="B6" i="3"/>
  <c r="H5" i="3"/>
  <c r="C5" i="3"/>
  <c r="B5" i="3"/>
  <c r="H4" i="3"/>
  <c r="C4" i="3"/>
  <c r="B4" i="3"/>
  <c r="H3" i="3"/>
  <c r="C3" i="3"/>
  <c r="B3" i="3"/>
  <c r="H2" i="3"/>
  <c r="G2" i="3"/>
  <c r="F2" i="3"/>
  <c r="C2" i="3"/>
  <c r="B2" i="3"/>
  <c r="I50" i="2"/>
  <c r="H50" i="2"/>
  <c r="C50" i="2"/>
  <c r="B50" i="2"/>
  <c r="H49" i="2"/>
  <c r="C49" i="2"/>
  <c r="B49" i="2"/>
  <c r="H48" i="2"/>
  <c r="C48" i="2"/>
  <c r="B48" i="2"/>
  <c r="H47" i="2"/>
  <c r="C47" i="2"/>
  <c r="B47" i="2"/>
  <c r="H46" i="2"/>
  <c r="C46" i="2"/>
  <c r="B46" i="2"/>
  <c r="H45" i="2"/>
  <c r="C45" i="2"/>
  <c r="B45" i="2"/>
  <c r="H44" i="2"/>
  <c r="C44" i="2"/>
  <c r="B44" i="2"/>
  <c r="H43" i="2"/>
  <c r="C43" i="2"/>
  <c r="B43" i="2"/>
  <c r="H42" i="2"/>
  <c r="C42" i="2"/>
  <c r="B42" i="2"/>
  <c r="H41" i="2"/>
  <c r="C41" i="2"/>
  <c r="B41" i="2"/>
  <c r="H40" i="2"/>
  <c r="C40" i="2"/>
  <c r="B40" i="2"/>
  <c r="H39" i="2"/>
  <c r="C39" i="2"/>
  <c r="B39" i="2"/>
  <c r="H38" i="2"/>
  <c r="C38" i="2"/>
  <c r="B38" i="2"/>
  <c r="H37" i="2"/>
  <c r="C37" i="2"/>
  <c r="B37" i="2"/>
  <c r="H36" i="2"/>
  <c r="C36" i="2"/>
  <c r="B36" i="2"/>
  <c r="H35" i="2"/>
  <c r="C35" i="2"/>
  <c r="B35" i="2"/>
  <c r="H34" i="2"/>
  <c r="C34" i="2"/>
  <c r="B34" i="2"/>
  <c r="H33" i="2"/>
  <c r="C33" i="2"/>
  <c r="B33" i="2"/>
  <c r="H32" i="2"/>
  <c r="C32" i="2"/>
  <c r="B32" i="2"/>
  <c r="H31" i="2"/>
  <c r="C31" i="2"/>
  <c r="B31" i="2"/>
  <c r="H30" i="2"/>
  <c r="C30" i="2"/>
  <c r="B30" i="2"/>
  <c r="H29" i="2"/>
  <c r="C29" i="2"/>
  <c r="B29" i="2"/>
  <c r="H28" i="2"/>
  <c r="C28" i="2"/>
  <c r="B28" i="2"/>
  <c r="H27" i="2"/>
  <c r="C27" i="2"/>
  <c r="B27" i="2"/>
  <c r="H26" i="2"/>
  <c r="C26" i="2"/>
  <c r="B26" i="2"/>
  <c r="H25" i="2"/>
  <c r="C25" i="2"/>
  <c r="B25" i="2"/>
  <c r="H24" i="2"/>
  <c r="C24" i="2"/>
  <c r="B24" i="2"/>
  <c r="H23" i="2"/>
  <c r="C23" i="2"/>
  <c r="B23" i="2"/>
  <c r="H22" i="2"/>
  <c r="C22" i="2"/>
  <c r="B22" i="2"/>
  <c r="H21" i="2"/>
  <c r="C21" i="2"/>
  <c r="B21" i="2"/>
  <c r="H20" i="2"/>
  <c r="C20" i="2"/>
  <c r="B20" i="2"/>
  <c r="H19" i="2"/>
  <c r="C19" i="2"/>
  <c r="B19" i="2"/>
  <c r="H18" i="2"/>
  <c r="C18" i="2"/>
  <c r="B18" i="2"/>
  <c r="H17" i="2"/>
  <c r="C17" i="2"/>
  <c r="B17" i="2"/>
  <c r="H16" i="2"/>
  <c r="C16" i="2"/>
  <c r="B16" i="2"/>
  <c r="H15" i="2"/>
  <c r="C15" i="2"/>
  <c r="B15" i="2"/>
  <c r="H14" i="2"/>
  <c r="C14" i="2"/>
  <c r="B14" i="2"/>
  <c r="H13" i="2"/>
  <c r="C13" i="2"/>
  <c r="B13" i="2"/>
  <c r="H12" i="2"/>
  <c r="C12" i="2"/>
  <c r="B12" i="2"/>
  <c r="H11" i="2"/>
  <c r="C11" i="2"/>
  <c r="B11" i="2"/>
  <c r="H10" i="2"/>
  <c r="C10" i="2"/>
  <c r="B10" i="2"/>
  <c r="H9" i="2"/>
  <c r="C9" i="2"/>
  <c r="B9" i="2"/>
  <c r="H8" i="2"/>
  <c r="C8" i="2"/>
  <c r="B8" i="2"/>
  <c r="H7" i="2"/>
  <c r="C7" i="2"/>
  <c r="B7" i="2"/>
  <c r="H6" i="2"/>
  <c r="C6" i="2"/>
  <c r="B6" i="2"/>
  <c r="H5" i="2"/>
  <c r="C5" i="2"/>
  <c r="B5" i="2"/>
  <c r="H4" i="2"/>
  <c r="C4" i="2"/>
  <c r="B4" i="2"/>
  <c r="H3" i="2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C3" i="2"/>
  <c r="B3" i="2"/>
  <c r="H2" i="2"/>
  <c r="G2" i="2"/>
  <c r="G3" i="2" s="1"/>
  <c r="G4" i="2" s="1"/>
  <c r="G5" i="2" s="1"/>
  <c r="G6" i="2" s="1"/>
  <c r="F2" i="2"/>
  <c r="C2" i="2"/>
  <c r="B2" i="2"/>
  <c r="I5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G2" i="1"/>
  <c r="C2" i="1"/>
  <c r="B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" i="1"/>
  <c r="F5" i="5" l="1"/>
  <c r="F6" i="5" s="1"/>
  <c r="I3" i="5"/>
  <c r="I2" i="5"/>
  <c r="F5" i="4"/>
  <c r="F6" i="4" s="1"/>
  <c r="I3" i="4"/>
  <c r="I2" i="4"/>
  <c r="I3" i="3"/>
  <c r="I2" i="3"/>
  <c r="G7" i="2"/>
  <c r="G8" i="2" s="1"/>
  <c r="I5" i="2"/>
  <c r="F15" i="2"/>
  <c r="F16" i="2" s="1"/>
  <c r="I3" i="2"/>
  <c r="I2" i="2"/>
  <c r="I4" i="2"/>
  <c r="F20" i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I18" i="1"/>
  <c r="I14" i="1"/>
  <c r="I10" i="1"/>
  <c r="I6" i="1"/>
  <c r="I17" i="1"/>
  <c r="I5" i="1"/>
  <c r="I16" i="1"/>
  <c r="I12" i="1"/>
  <c r="I8" i="1"/>
  <c r="I4" i="1"/>
  <c r="I13" i="1"/>
  <c r="I15" i="1"/>
  <c r="I11" i="1"/>
  <c r="I7" i="1"/>
  <c r="I3" i="1"/>
  <c r="I9" i="1"/>
  <c r="I2" i="1"/>
  <c r="I4" i="5" l="1"/>
  <c r="I4" i="4"/>
  <c r="I6" i="2"/>
  <c r="I23" i="1"/>
  <c r="I27" i="1"/>
  <c r="I29" i="1"/>
  <c r="I20" i="1"/>
  <c r="I28" i="1"/>
  <c r="I21" i="1"/>
  <c r="I33" i="1"/>
  <c r="I31" i="1"/>
  <c r="I25" i="1"/>
  <c r="I19" i="1"/>
  <c r="I22" i="1"/>
  <c r="I32" i="1"/>
  <c r="I24" i="1"/>
  <c r="F7" i="5"/>
  <c r="I5" i="5"/>
  <c r="F7" i="4"/>
  <c r="I5" i="4"/>
  <c r="I5" i="3"/>
  <c r="I4" i="3"/>
  <c r="F17" i="2"/>
  <c r="G9" i="2"/>
  <c r="I7" i="2"/>
  <c r="I26" i="1"/>
  <c r="I30" i="1"/>
  <c r="F36" i="1"/>
  <c r="I34" i="1"/>
  <c r="F8" i="5" l="1"/>
  <c r="I6" i="5"/>
  <c r="F8" i="4"/>
  <c r="I6" i="4"/>
  <c r="I6" i="3"/>
  <c r="G10" i="2"/>
  <c r="I8" i="2"/>
  <c r="F18" i="2"/>
  <c r="F37" i="1"/>
  <c r="I35" i="1"/>
  <c r="F9" i="5" l="1"/>
  <c r="I7" i="5"/>
  <c r="I7" i="4"/>
  <c r="F9" i="4"/>
  <c r="I7" i="3"/>
  <c r="G11" i="2"/>
  <c r="I9" i="2"/>
  <c r="F19" i="2"/>
  <c r="F38" i="1"/>
  <c r="I36" i="1"/>
  <c r="F10" i="5" l="1"/>
  <c r="I8" i="5"/>
  <c r="F10" i="4"/>
  <c r="I8" i="4"/>
  <c r="I8" i="3"/>
  <c r="F20" i="2"/>
  <c r="G12" i="2"/>
  <c r="I10" i="2"/>
  <c r="F39" i="1"/>
  <c r="I37" i="1"/>
  <c r="F11" i="5" l="1"/>
  <c r="I9" i="5"/>
  <c r="I9" i="4"/>
  <c r="F11" i="4"/>
  <c r="I9" i="3"/>
  <c r="G13" i="2"/>
  <c r="I11" i="2"/>
  <c r="F21" i="2"/>
  <c r="F40" i="1"/>
  <c r="I38" i="1"/>
  <c r="F12" i="5" l="1"/>
  <c r="I10" i="5"/>
  <c r="F12" i="4"/>
  <c r="I10" i="4"/>
  <c r="I10" i="3"/>
  <c r="F22" i="2"/>
  <c r="G14" i="2"/>
  <c r="I12" i="2"/>
  <c r="F41" i="1"/>
  <c r="I39" i="1"/>
  <c r="F13" i="5" l="1"/>
  <c r="I11" i="5"/>
  <c r="F13" i="4"/>
  <c r="I11" i="4"/>
  <c r="I11" i="3"/>
  <c r="G15" i="2"/>
  <c r="I13" i="2"/>
  <c r="F23" i="2"/>
  <c r="F42" i="1"/>
  <c r="I40" i="1"/>
  <c r="F14" i="5" l="1"/>
  <c r="I12" i="5"/>
  <c r="I12" i="4"/>
  <c r="F14" i="4"/>
  <c r="I12" i="3"/>
  <c r="F24" i="2"/>
  <c r="G16" i="2"/>
  <c r="I14" i="2"/>
  <c r="F43" i="1"/>
  <c r="I41" i="1"/>
  <c r="F15" i="5" l="1"/>
  <c r="I13" i="5"/>
  <c r="F15" i="4"/>
  <c r="I13" i="4"/>
  <c r="I13" i="3"/>
  <c r="G17" i="2"/>
  <c r="I15" i="2"/>
  <c r="F25" i="2"/>
  <c r="F44" i="1"/>
  <c r="I42" i="1"/>
  <c r="F16" i="5" l="1"/>
  <c r="I14" i="5"/>
  <c r="I14" i="4"/>
  <c r="F16" i="4"/>
  <c r="I14" i="3"/>
  <c r="F26" i="2"/>
  <c r="G18" i="2"/>
  <c r="I16" i="2"/>
  <c r="F45" i="1"/>
  <c r="I43" i="1"/>
  <c r="F17" i="5" l="1"/>
  <c r="I15" i="5"/>
  <c r="F17" i="4"/>
  <c r="I15" i="4"/>
  <c r="I15" i="3"/>
  <c r="G19" i="2"/>
  <c r="I17" i="2"/>
  <c r="F27" i="2"/>
  <c r="F46" i="1"/>
  <c r="I44" i="1"/>
  <c r="F18" i="5" l="1"/>
  <c r="I16" i="5"/>
  <c r="I16" i="4"/>
  <c r="F18" i="4"/>
  <c r="I16" i="3"/>
  <c r="F28" i="2"/>
  <c r="G20" i="2"/>
  <c r="I18" i="2"/>
  <c r="F47" i="1"/>
  <c r="I45" i="1"/>
  <c r="F19" i="5" l="1"/>
  <c r="I17" i="5"/>
  <c r="F19" i="4"/>
  <c r="I17" i="4"/>
  <c r="I17" i="3"/>
  <c r="G21" i="2"/>
  <c r="I19" i="2"/>
  <c r="F29" i="2"/>
  <c r="F48" i="1"/>
  <c r="I46" i="1"/>
  <c r="F20" i="5" l="1"/>
  <c r="I18" i="5"/>
  <c r="I18" i="4"/>
  <c r="F20" i="4"/>
  <c r="I18" i="3"/>
  <c r="F30" i="2"/>
  <c r="G22" i="2"/>
  <c r="I20" i="2"/>
  <c r="F49" i="1"/>
  <c r="I47" i="1"/>
  <c r="F21" i="5" l="1"/>
  <c r="I19" i="5"/>
  <c r="F21" i="4"/>
  <c r="I19" i="4"/>
  <c r="I19" i="3"/>
  <c r="G23" i="2"/>
  <c r="I21" i="2"/>
  <c r="F31" i="2"/>
  <c r="F50" i="1"/>
  <c r="I49" i="1" s="1"/>
  <c r="I48" i="1"/>
  <c r="F22" i="5" l="1"/>
  <c r="I20" i="5"/>
  <c r="I20" i="4"/>
  <c r="F22" i="4"/>
  <c r="I20" i="3"/>
  <c r="G24" i="2"/>
  <c r="I22" i="2"/>
  <c r="F32" i="2"/>
  <c r="K11" i="1"/>
  <c r="F23" i="5" l="1"/>
  <c r="I21" i="5"/>
  <c r="F23" i="4"/>
  <c r="I21" i="4"/>
  <c r="I21" i="3"/>
  <c r="F33" i="2"/>
  <c r="G25" i="2"/>
  <c r="I23" i="2"/>
  <c r="F24" i="5" l="1"/>
  <c r="I22" i="5"/>
  <c r="F24" i="4"/>
  <c r="I22" i="4"/>
  <c r="I22" i="3"/>
  <c r="F34" i="2"/>
  <c r="G26" i="2"/>
  <c r="I24" i="2"/>
  <c r="F25" i="5" l="1"/>
  <c r="I23" i="5"/>
  <c r="F25" i="4"/>
  <c r="I23" i="4"/>
  <c r="I23" i="3"/>
  <c r="G27" i="2"/>
  <c r="I25" i="2"/>
  <c r="F35" i="2"/>
  <c r="F26" i="5" l="1"/>
  <c r="I24" i="5"/>
  <c r="F26" i="4"/>
  <c r="I24" i="4"/>
  <c r="I24" i="3"/>
  <c r="G28" i="2"/>
  <c r="I26" i="2"/>
  <c r="F36" i="2"/>
  <c r="F27" i="5" l="1"/>
  <c r="I25" i="5"/>
  <c r="F27" i="4"/>
  <c r="I25" i="4"/>
  <c r="I25" i="3"/>
  <c r="G29" i="2"/>
  <c r="I27" i="2"/>
  <c r="F37" i="2"/>
  <c r="F28" i="5" l="1"/>
  <c r="I26" i="5"/>
  <c r="I26" i="4"/>
  <c r="F28" i="4"/>
  <c r="I26" i="3"/>
  <c r="G30" i="2"/>
  <c r="I28" i="2"/>
  <c r="F38" i="2"/>
  <c r="F29" i="5" l="1"/>
  <c r="I27" i="5"/>
  <c r="F29" i="4"/>
  <c r="I27" i="4"/>
  <c r="I27" i="3"/>
  <c r="F39" i="2"/>
  <c r="G31" i="2"/>
  <c r="I29" i="2"/>
  <c r="F30" i="5" l="1"/>
  <c r="I28" i="5"/>
  <c r="I28" i="4"/>
  <c r="F30" i="4"/>
  <c r="I28" i="3"/>
  <c r="G32" i="2"/>
  <c r="I30" i="2"/>
  <c r="F40" i="2"/>
  <c r="F31" i="5" l="1"/>
  <c r="I29" i="5"/>
  <c r="F31" i="4"/>
  <c r="I29" i="4"/>
  <c r="I29" i="3"/>
  <c r="F41" i="2"/>
  <c r="G33" i="2"/>
  <c r="I31" i="2"/>
  <c r="F32" i="5" l="1"/>
  <c r="I30" i="5"/>
  <c r="I30" i="4"/>
  <c r="F32" i="4"/>
  <c r="I30" i="3"/>
  <c r="G34" i="2"/>
  <c r="I32" i="2"/>
  <c r="F42" i="2"/>
  <c r="F33" i="5" l="1"/>
  <c r="I31" i="5"/>
  <c r="F33" i="4"/>
  <c r="I31" i="4"/>
  <c r="I31" i="3"/>
  <c r="G35" i="2"/>
  <c r="I33" i="2"/>
  <c r="F43" i="2"/>
  <c r="F34" i="5" l="1"/>
  <c r="I32" i="5"/>
  <c r="I32" i="4"/>
  <c r="F34" i="4"/>
  <c r="I32" i="3"/>
  <c r="F44" i="2"/>
  <c r="G36" i="2"/>
  <c r="I34" i="2"/>
  <c r="F35" i="5" l="1"/>
  <c r="I33" i="5"/>
  <c r="F35" i="4"/>
  <c r="I33" i="4"/>
  <c r="I33" i="3"/>
  <c r="G37" i="2"/>
  <c r="I35" i="2"/>
  <c r="F45" i="2"/>
  <c r="F36" i="5" l="1"/>
  <c r="I34" i="5"/>
  <c r="F36" i="4"/>
  <c r="I34" i="4"/>
  <c r="I34" i="3"/>
  <c r="F46" i="2"/>
  <c r="G38" i="2"/>
  <c r="I36" i="2"/>
  <c r="F37" i="5" l="1"/>
  <c r="I35" i="5"/>
  <c r="F37" i="4"/>
  <c r="I35" i="4"/>
  <c r="I35" i="3"/>
  <c r="G39" i="2"/>
  <c r="I37" i="2"/>
  <c r="F47" i="2"/>
  <c r="F38" i="5" l="1"/>
  <c r="I36" i="5"/>
  <c r="I36" i="4"/>
  <c r="F38" i="4"/>
  <c r="I36" i="3"/>
  <c r="F48" i="2"/>
  <c r="G40" i="2"/>
  <c r="I38" i="2"/>
  <c r="F39" i="5" l="1"/>
  <c r="I37" i="5"/>
  <c r="F39" i="4"/>
  <c r="I37" i="4"/>
  <c r="I37" i="3"/>
  <c r="G41" i="2"/>
  <c r="I39" i="2"/>
  <c r="F49" i="2"/>
  <c r="F40" i="5" l="1"/>
  <c r="I38" i="5"/>
  <c r="I38" i="4"/>
  <c r="F40" i="4"/>
  <c r="I38" i="3"/>
  <c r="F50" i="2"/>
  <c r="G42" i="2"/>
  <c r="I40" i="2"/>
  <c r="F41" i="5" l="1"/>
  <c r="I39" i="5"/>
  <c r="F41" i="4"/>
  <c r="I39" i="4"/>
  <c r="I39" i="3"/>
  <c r="G43" i="2"/>
  <c r="I41" i="2"/>
  <c r="F42" i="5" l="1"/>
  <c r="I40" i="5"/>
  <c r="I40" i="4"/>
  <c r="F42" i="4"/>
  <c r="I40" i="3"/>
  <c r="G44" i="2"/>
  <c r="I42" i="2"/>
  <c r="F43" i="5" l="1"/>
  <c r="I41" i="5"/>
  <c r="F43" i="4"/>
  <c r="I41" i="4"/>
  <c r="I41" i="3"/>
  <c r="G45" i="2"/>
  <c r="I43" i="2"/>
  <c r="I42" i="5" l="1"/>
  <c r="F44" i="5"/>
  <c r="I42" i="4"/>
  <c r="F44" i="4"/>
  <c r="I42" i="3"/>
  <c r="G46" i="2"/>
  <c r="I44" i="2"/>
  <c r="F45" i="5" l="1"/>
  <c r="I43" i="5"/>
  <c r="F45" i="4"/>
  <c r="I43" i="4"/>
  <c r="I43" i="3"/>
  <c r="G47" i="2"/>
  <c r="I45" i="2"/>
  <c r="I44" i="5" l="1"/>
  <c r="F46" i="5"/>
  <c r="I44" i="4"/>
  <c r="F46" i="4"/>
  <c r="I44" i="3"/>
  <c r="G48" i="2"/>
  <c r="I46" i="2"/>
  <c r="F47" i="5" l="1"/>
  <c r="I45" i="5"/>
  <c r="F47" i="4"/>
  <c r="I45" i="4"/>
  <c r="I45" i="3"/>
  <c r="G49" i="2"/>
  <c r="I47" i="2"/>
  <c r="I46" i="5" l="1"/>
  <c r="F48" i="5"/>
  <c r="I46" i="4"/>
  <c r="F48" i="4"/>
  <c r="I46" i="3"/>
  <c r="G50" i="2"/>
  <c r="I49" i="2" s="1"/>
  <c r="I48" i="2"/>
  <c r="F49" i="5" l="1"/>
  <c r="I47" i="5"/>
  <c r="F49" i="4"/>
  <c r="I47" i="4"/>
  <c r="K11" i="2"/>
  <c r="I47" i="3"/>
  <c r="I48" i="5" l="1"/>
  <c r="F50" i="5"/>
  <c r="I49" i="5" s="1"/>
  <c r="I48" i="4"/>
  <c r="F50" i="4"/>
  <c r="I49" i="4" s="1"/>
  <c r="I48" i="3"/>
  <c r="I49" i="3"/>
  <c r="K11" i="5" l="1"/>
  <c r="K11" i="4"/>
  <c r="K11" i="3"/>
</calcChain>
</file>

<file path=xl/sharedStrings.xml><?xml version="1.0" encoding="utf-8"?>
<sst xmlns="http://schemas.openxmlformats.org/spreadsheetml/2006/main" count="90" uniqueCount="18">
  <si>
    <t>параметры</t>
  </si>
  <si>
    <t>a1</t>
  </si>
  <si>
    <t>S0</t>
  </si>
  <si>
    <t>L0</t>
  </si>
  <si>
    <t>r_s_min</t>
  </si>
  <si>
    <t>r_s_max</t>
  </si>
  <si>
    <t>r_l_min</t>
  </si>
  <si>
    <t>r_l_max</t>
  </si>
  <si>
    <t>t</t>
  </si>
  <si>
    <t>r_s</t>
  </si>
  <si>
    <t>r_l</t>
  </si>
  <si>
    <t>K (dl)</t>
  </si>
  <si>
    <t>V (dS)</t>
  </si>
  <si>
    <t>L</t>
  </si>
  <si>
    <t>S</t>
  </si>
  <si>
    <t>C</t>
  </si>
  <si>
    <t>pi(t)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</si>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</sst>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0.00000000"/>
    <numFmt numFmtId="172" formatCode="0.000000000"/>
    <numFmt numFmtId="173" formatCode="0.0000000000"/>
    <numFmt numFmtId="174" formatCode="0.000000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Sheet1!$F$2:$F$50</c:f>
              <c:numCache>
                <c:formatCode>0.000000000</c:formatCode>
                <c:ptCount val="49"/>
                <c:pt idx="0">
                  <c:v>1386</c:v>
                </c:pt>
                <c:pt idx="1">
                  <c:v>1386.0100279205556</c:v>
                </c:pt>
                <c:pt idx="2">
                  <c:v>1386.0100279205556</c:v>
                </c:pt>
                <c:pt idx="3">
                  <c:v>1386.045993313727</c:v>
                </c:pt>
                <c:pt idx="4">
                  <c:v>1386.0462483874712</c:v>
                </c:pt>
                <c:pt idx="5">
                  <c:v>1386.0497075323306</c:v>
                </c:pt>
                <c:pt idx="6">
                  <c:v>1386.0497075323306</c:v>
                </c:pt>
                <c:pt idx="7">
                  <c:v>1386.0497075323306</c:v>
                </c:pt>
                <c:pt idx="8">
                  <c:v>1386.0696956506242</c:v>
                </c:pt>
                <c:pt idx="9">
                  <c:v>1386.069854425715</c:v>
                </c:pt>
                <c:pt idx="10">
                  <c:v>1386.069854425715</c:v>
                </c:pt>
                <c:pt idx="11">
                  <c:v>1386.0897320082734</c:v>
                </c:pt>
                <c:pt idx="12">
                  <c:v>1386.1005702270227</c:v>
                </c:pt>
                <c:pt idx="13">
                  <c:v>1386.1809412735338</c:v>
                </c:pt>
                <c:pt idx="14">
                  <c:v>1386.2432516961605</c:v>
                </c:pt>
                <c:pt idx="15">
                  <c:v>1386.2659519296308</c:v>
                </c:pt>
                <c:pt idx="16">
                  <c:v>1386.3229910445773</c:v>
                </c:pt>
                <c:pt idx="17">
                  <c:v>1386.358937270742</c:v>
                </c:pt>
                <c:pt idx="18">
                  <c:v>1386.4021196649728</c:v>
                </c:pt>
                <c:pt idx="19">
                  <c:v>1386.4532407703555</c:v>
                </c:pt>
                <c:pt idx="20">
                  <c:v>1386.4532407703555</c:v>
                </c:pt>
                <c:pt idx="21">
                  <c:v>1386.4579641993819</c:v>
                </c:pt>
                <c:pt idx="22">
                  <c:v>1386.4579641993819</c:v>
                </c:pt>
                <c:pt idx="23">
                  <c:v>1386.4581293489159</c:v>
                </c:pt>
                <c:pt idx="24">
                  <c:v>1386.531742529985</c:v>
                </c:pt>
                <c:pt idx="25">
                  <c:v>1386.5870597533458</c:v>
                </c:pt>
                <c:pt idx="26">
                  <c:v>1386.6110388695986</c:v>
                </c:pt>
                <c:pt idx="27">
                  <c:v>1386.6245227781203</c:v>
                </c:pt>
                <c:pt idx="28">
                  <c:v>1386.6309578530893</c:v>
                </c:pt>
                <c:pt idx="29">
                  <c:v>1386.7310919065781</c:v>
                </c:pt>
                <c:pt idx="30">
                  <c:v>1386.7310919065781</c:v>
                </c:pt>
                <c:pt idx="31">
                  <c:v>1386.7493861959224</c:v>
                </c:pt>
                <c:pt idx="32">
                  <c:v>1386.8181713823235</c:v>
                </c:pt>
                <c:pt idx="33">
                  <c:v>1386.8390242205903</c:v>
                </c:pt>
                <c:pt idx="34">
                  <c:v>1386.8658101654282</c:v>
                </c:pt>
                <c:pt idx="35">
                  <c:v>1386.8658101654282</c:v>
                </c:pt>
                <c:pt idx="36">
                  <c:v>1386.8972082221978</c:v>
                </c:pt>
                <c:pt idx="37">
                  <c:v>1386.9534447975968</c:v>
                </c:pt>
                <c:pt idx="38">
                  <c:v>1386.9862390717756</c:v>
                </c:pt>
                <c:pt idx="39">
                  <c:v>1386.9963063753396</c:v>
                </c:pt>
                <c:pt idx="40">
                  <c:v>1387.0291408305206</c:v>
                </c:pt>
                <c:pt idx="41">
                  <c:v>1387.0301150663674</c:v>
                </c:pt>
                <c:pt idx="42">
                  <c:v>1387.0301150663674</c:v>
                </c:pt>
                <c:pt idx="43">
                  <c:v>1387.0625090881042</c:v>
                </c:pt>
                <c:pt idx="44">
                  <c:v>1387.0670898810392</c:v>
                </c:pt>
                <c:pt idx="45">
                  <c:v>1387.0670898810392</c:v>
                </c:pt>
                <c:pt idx="46">
                  <c:v>1387.0800635219512</c:v>
                </c:pt>
                <c:pt idx="47">
                  <c:v>1387.1487370364807</c:v>
                </c:pt>
                <c:pt idx="48">
                  <c:v>1387.1487370364807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08-4CF4-BEDF-4C08DA578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450880"/>
        <c:axId val="490451840"/>
      </c:scatterChart>
      <c:valAx>
        <c:axId val="49045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51840"/>
        <c:crosses val="autoZero"/>
        <c:crossBetween val="midCat"/>
      </c:valAx>
      <c:valAx>
        <c:axId val="4904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5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Sheet1!$G$2:$G$50</c:f>
              <c:numCache>
                <c:formatCode>0.000000000</c:formatCode>
                <c:ptCount val="49"/>
                <c:pt idx="0">
                  <c:v>4494</c:v>
                </c:pt>
                <c:pt idx="1">
                  <c:v>4494.0301942898923</c:v>
                </c:pt>
                <c:pt idx="2">
                  <c:v>4494.0301942898923</c:v>
                </c:pt>
                <c:pt idx="3">
                  <c:v>4494.0393196979448</c:v>
                </c:pt>
                <c:pt idx="4">
                  <c:v>4494.0440493577189</c:v>
                </c:pt>
                <c:pt idx="5">
                  <c:v>4494.0440493577189</c:v>
                </c:pt>
                <c:pt idx="6">
                  <c:v>4494.0832937578116</c:v>
                </c:pt>
                <c:pt idx="7">
                  <c:v>4494.0873479267093</c:v>
                </c:pt>
                <c:pt idx="8">
                  <c:v>4494.109759378789</c:v>
                </c:pt>
                <c:pt idx="9">
                  <c:v>4494.1783894893351</c:v>
                </c:pt>
                <c:pt idx="10">
                  <c:v>4494.2104063749011</c:v>
                </c:pt>
                <c:pt idx="11">
                  <c:v>4494.2526757044252</c:v>
                </c:pt>
                <c:pt idx="12">
                  <c:v>4494.2526757044252</c:v>
                </c:pt>
                <c:pt idx="13">
                  <c:v>4494.3063630276565</c:v>
                </c:pt>
                <c:pt idx="14">
                  <c:v>4494.3106629268468</c:v>
                </c:pt>
                <c:pt idx="15">
                  <c:v>4494.3352190543328</c:v>
                </c:pt>
                <c:pt idx="16">
                  <c:v>4494.3920318039045</c:v>
                </c:pt>
                <c:pt idx="17">
                  <c:v>4494.4435444324326</c:v>
                </c:pt>
                <c:pt idx="18">
                  <c:v>4494.4435444324326</c:v>
                </c:pt>
                <c:pt idx="19">
                  <c:v>4494.4581213201272</c:v>
                </c:pt>
                <c:pt idx="20">
                  <c:v>4494.4581213201272</c:v>
                </c:pt>
                <c:pt idx="21">
                  <c:v>4494.5122294206813</c:v>
                </c:pt>
                <c:pt idx="22">
                  <c:v>4494.5505477833476</c:v>
                </c:pt>
                <c:pt idx="23">
                  <c:v>4494.6235257853959</c:v>
                </c:pt>
                <c:pt idx="24">
                  <c:v>4494.6235257853959</c:v>
                </c:pt>
                <c:pt idx="25">
                  <c:v>4494.6235257853959</c:v>
                </c:pt>
                <c:pt idx="26">
                  <c:v>4494.678056549742</c:v>
                </c:pt>
                <c:pt idx="27">
                  <c:v>4494.678056549742</c:v>
                </c:pt>
                <c:pt idx="28">
                  <c:v>4494.7327075189496</c:v>
                </c:pt>
                <c:pt idx="29">
                  <c:v>4494.7484488211876</c:v>
                </c:pt>
                <c:pt idx="30">
                  <c:v>4494.7484488211876</c:v>
                </c:pt>
                <c:pt idx="31">
                  <c:v>4494.7484488211876</c:v>
                </c:pt>
                <c:pt idx="32">
                  <c:v>4494.7493745471884</c:v>
                </c:pt>
                <c:pt idx="33">
                  <c:v>4494.7645371160188</c:v>
                </c:pt>
                <c:pt idx="34">
                  <c:v>4494.8270863870202</c:v>
                </c:pt>
                <c:pt idx="35">
                  <c:v>4494.8836438368653</c:v>
                </c:pt>
                <c:pt idx="36">
                  <c:v>4494.8907069090055</c:v>
                </c:pt>
                <c:pt idx="37">
                  <c:v>4494.8907069090055</c:v>
                </c:pt>
                <c:pt idx="38">
                  <c:v>4494.9070995651473</c:v>
                </c:pt>
                <c:pt idx="39">
                  <c:v>4494.9131667277943</c:v>
                </c:pt>
                <c:pt idx="40">
                  <c:v>4494.9321067223191</c:v>
                </c:pt>
                <c:pt idx="41">
                  <c:v>4494.9676792878481</c:v>
                </c:pt>
                <c:pt idx="42">
                  <c:v>4495.0136700850599</c:v>
                </c:pt>
                <c:pt idx="43">
                  <c:v>4495.0136700850599</c:v>
                </c:pt>
                <c:pt idx="44">
                  <c:v>4495.0367475091434</c:v>
                </c:pt>
                <c:pt idx="45">
                  <c:v>4495.0474324974693</c:v>
                </c:pt>
                <c:pt idx="46">
                  <c:v>4495.0617667774768</c:v>
                </c:pt>
                <c:pt idx="47">
                  <c:v>4495.0617667774768</c:v>
                </c:pt>
                <c:pt idx="48">
                  <c:v>4495.0617667774768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D-4C2D-910C-B84944850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400000"/>
        <c:axId val="490400480"/>
      </c:scatterChart>
      <c:valAx>
        <c:axId val="49040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00480"/>
        <c:crosses val="autoZero"/>
        <c:crossBetween val="midCat"/>
      </c:valAx>
      <c:valAx>
        <c:axId val="4904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0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Sheet2!$F$2:$F$50</c:f>
              <c:numCache>
                <c:formatCode>0.00000000</c:formatCode>
                <c:ptCount val="49"/>
                <c:pt idx="0">
                  <c:v>1386</c:v>
                </c:pt>
                <c:pt idx="1">
                  <c:v>1386.0000000000157</c:v>
                </c:pt>
                <c:pt idx="2">
                  <c:v>1386.0000000000387</c:v>
                </c:pt>
                <c:pt idx="3">
                  <c:v>1386.004354833457</c:v>
                </c:pt>
                <c:pt idx="4">
                  <c:v>1386.0117219872209</c:v>
                </c:pt>
                <c:pt idx="5">
                  <c:v>1386.0625623995581</c:v>
                </c:pt>
                <c:pt idx="6">
                  <c:v>1386.0625623995725</c:v>
                </c:pt>
                <c:pt idx="7">
                  <c:v>1386.0627989749178</c:v>
                </c:pt>
                <c:pt idx="8">
                  <c:v>1386.0737562743329</c:v>
                </c:pt>
                <c:pt idx="9">
                  <c:v>1386.0808503853118</c:v>
                </c:pt>
                <c:pt idx="10">
                  <c:v>1386.1221202793072</c:v>
                </c:pt>
                <c:pt idx="11">
                  <c:v>1386.1446237469138</c:v>
                </c:pt>
                <c:pt idx="12">
                  <c:v>1386.1608164486599</c:v>
                </c:pt>
                <c:pt idx="13">
                  <c:v>1386.1787601758135</c:v>
                </c:pt>
                <c:pt idx="14">
                  <c:v>1386.1790300070252</c:v>
                </c:pt>
                <c:pt idx="15">
                  <c:v>1386.1790300070368</c:v>
                </c:pt>
                <c:pt idx="16">
                  <c:v>1386.2069238340418</c:v>
                </c:pt>
                <c:pt idx="17">
                  <c:v>1386.2117291894701</c:v>
                </c:pt>
                <c:pt idx="18">
                  <c:v>1386.2146983025843</c:v>
                </c:pt>
                <c:pt idx="19">
                  <c:v>1386.2411133785731</c:v>
                </c:pt>
                <c:pt idx="20">
                  <c:v>1386.2411133815708</c:v>
                </c:pt>
                <c:pt idx="21">
                  <c:v>1386.2416477288739</c:v>
                </c:pt>
                <c:pt idx="22">
                  <c:v>1386.2516978970484</c:v>
                </c:pt>
                <c:pt idx="23">
                  <c:v>1386.2718217073439</c:v>
                </c:pt>
                <c:pt idx="24">
                  <c:v>1386.2876403556481</c:v>
                </c:pt>
                <c:pt idx="25">
                  <c:v>1386.2876403579842</c:v>
                </c:pt>
                <c:pt idx="26">
                  <c:v>1386.314798088009</c:v>
                </c:pt>
                <c:pt idx="27">
                  <c:v>1386.327479941297</c:v>
                </c:pt>
                <c:pt idx="28">
                  <c:v>1386.3395790812719</c:v>
                </c:pt>
                <c:pt idx="29">
                  <c:v>1386.3681359024758</c:v>
                </c:pt>
                <c:pt idx="30">
                  <c:v>1386.3681359024838</c:v>
                </c:pt>
                <c:pt idx="31">
                  <c:v>1386.3963880160723</c:v>
                </c:pt>
                <c:pt idx="32">
                  <c:v>1386.3963880908871</c:v>
                </c:pt>
                <c:pt idx="33">
                  <c:v>1386.4044190055542</c:v>
                </c:pt>
                <c:pt idx="34">
                  <c:v>1386.4329292783157</c:v>
                </c:pt>
                <c:pt idx="35">
                  <c:v>1386.4518506058832</c:v>
                </c:pt>
                <c:pt idx="36">
                  <c:v>1386.4725824199925</c:v>
                </c:pt>
                <c:pt idx="37">
                  <c:v>1386.4725824512682</c:v>
                </c:pt>
                <c:pt idx="38">
                  <c:v>1386.5033192252977</c:v>
                </c:pt>
                <c:pt idx="39">
                  <c:v>1386.5033192253168</c:v>
                </c:pt>
                <c:pt idx="40">
                  <c:v>1386.5202641406543</c:v>
                </c:pt>
                <c:pt idx="41">
                  <c:v>1386.5391967373155</c:v>
                </c:pt>
                <c:pt idx="42">
                  <c:v>1386.5530418879098</c:v>
                </c:pt>
                <c:pt idx="43">
                  <c:v>1386.5735534777164</c:v>
                </c:pt>
                <c:pt idx="44">
                  <c:v>1386.5764274744572</c:v>
                </c:pt>
                <c:pt idx="45">
                  <c:v>1386.580528386522</c:v>
                </c:pt>
                <c:pt idx="46">
                  <c:v>1386.5995143750968</c:v>
                </c:pt>
                <c:pt idx="47">
                  <c:v>1386.6131355810426</c:v>
                </c:pt>
                <c:pt idx="48">
                  <c:v>1386.6131355810426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FF-4355-B0D7-0F9638573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394720"/>
        <c:axId val="490409120"/>
      </c:scatterChart>
      <c:valAx>
        <c:axId val="49039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09120"/>
        <c:crosses val="autoZero"/>
        <c:crossBetween val="midCat"/>
      </c:valAx>
      <c:valAx>
        <c:axId val="4904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9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Sheet2!$G$2:$G$50</c:f>
              <c:numCache>
                <c:formatCode>0.00000000</c:formatCode>
                <c:ptCount val="49"/>
                <c:pt idx="0">
                  <c:v>4494</c:v>
                </c:pt>
                <c:pt idx="1">
                  <c:v>4494.0198610322668</c:v>
                </c:pt>
                <c:pt idx="2">
                  <c:v>4494.0591299800972</c:v>
                </c:pt>
                <c:pt idx="3">
                  <c:v>4494.0591299800981</c:v>
                </c:pt>
                <c:pt idx="4">
                  <c:v>4494.083325451672</c:v>
                </c:pt>
                <c:pt idx="5">
                  <c:v>4494.0845981218044</c:v>
                </c:pt>
                <c:pt idx="6">
                  <c:v>4494.100428777454</c:v>
                </c:pt>
                <c:pt idx="7">
                  <c:v>4494.1130553811408</c:v>
                </c:pt>
                <c:pt idx="8">
                  <c:v>4494.1289565049165</c:v>
                </c:pt>
                <c:pt idx="9">
                  <c:v>4494.1289565225861</c:v>
                </c:pt>
                <c:pt idx="10">
                  <c:v>4494.1289565920479</c:v>
                </c:pt>
                <c:pt idx="11">
                  <c:v>4494.1305437513547</c:v>
                </c:pt>
                <c:pt idx="12">
                  <c:v>4494.1386140727545</c:v>
                </c:pt>
                <c:pt idx="13">
                  <c:v>4494.1631117245406</c:v>
                </c:pt>
                <c:pt idx="14">
                  <c:v>4494.1631117306615</c:v>
                </c:pt>
                <c:pt idx="15">
                  <c:v>4494.1654761546697</c:v>
                </c:pt>
                <c:pt idx="16">
                  <c:v>4494.1664309888429</c:v>
                </c:pt>
                <c:pt idx="17">
                  <c:v>4494.1700084631348</c:v>
                </c:pt>
                <c:pt idx="18">
                  <c:v>4494.1813004400183</c:v>
                </c:pt>
                <c:pt idx="19">
                  <c:v>4494.1813004563583</c:v>
                </c:pt>
                <c:pt idx="20">
                  <c:v>4494.1813004927444</c:v>
                </c:pt>
                <c:pt idx="21">
                  <c:v>4494.2019666817951</c:v>
                </c:pt>
                <c:pt idx="22">
                  <c:v>4494.2416124470737</c:v>
                </c:pt>
                <c:pt idx="23">
                  <c:v>4494.2575233245816</c:v>
                </c:pt>
                <c:pt idx="24">
                  <c:v>4494.2666600831972</c:v>
                </c:pt>
                <c:pt idx="25">
                  <c:v>4494.2766364819299</c:v>
                </c:pt>
                <c:pt idx="26">
                  <c:v>4494.2936276375476</c:v>
                </c:pt>
                <c:pt idx="27">
                  <c:v>4494.2987353780181</c:v>
                </c:pt>
                <c:pt idx="28">
                  <c:v>4494.3061701330471</c:v>
                </c:pt>
                <c:pt idx="29">
                  <c:v>4494.3129447589699</c:v>
                </c:pt>
                <c:pt idx="30">
                  <c:v>4494.3129448264453</c:v>
                </c:pt>
                <c:pt idx="31">
                  <c:v>4494.3284301012118</c:v>
                </c:pt>
                <c:pt idx="32">
                  <c:v>4494.3301509640232</c:v>
                </c:pt>
                <c:pt idx="33">
                  <c:v>4494.3326350381658</c:v>
                </c:pt>
                <c:pt idx="34">
                  <c:v>4494.3545089661111</c:v>
                </c:pt>
                <c:pt idx="35">
                  <c:v>4494.3647385888544</c:v>
                </c:pt>
                <c:pt idx="36">
                  <c:v>4494.3817940736753</c:v>
                </c:pt>
                <c:pt idx="37">
                  <c:v>4494.401544418688</c:v>
                </c:pt>
                <c:pt idx="38">
                  <c:v>4494.4021126842244</c:v>
                </c:pt>
                <c:pt idx="39">
                  <c:v>4494.4101677907338</c:v>
                </c:pt>
                <c:pt idx="40">
                  <c:v>4494.4452371110565</c:v>
                </c:pt>
                <c:pt idx="41">
                  <c:v>4494.4779405095951</c:v>
                </c:pt>
                <c:pt idx="42">
                  <c:v>4494.4850098126781</c:v>
                </c:pt>
                <c:pt idx="43">
                  <c:v>4494.522016653691</c:v>
                </c:pt>
                <c:pt idx="44">
                  <c:v>4494.5505770758245</c:v>
                </c:pt>
                <c:pt idx="45">
                  <c:v>4494.5526288700357</c:v>
                </c:pt>
                <c:pt idx="46">
                  <c:v>4494.5528647592291</c:v>
                </c:pt>
                <c:pt idx="47">
                  <c:v>4494.5576012935189</c:v>
                </c:pt>
                <c:pt idx="48">
                  <c:v>4494.5576012935189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48-4712-AEE5-432B5BCA6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411040"/>
        <c:axId val="490412000"/>
      </c:scatterChart>
      <c:valAx>
        <c:axId val="49041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12000"/>
        <c:crosses val="autoZero"/>
        <c:crossBetween val="midCat"/>
      </c:valAx>
      <c:valAx>
        <c:axId val="49041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1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Sheet3!$F$2:$F$50</c:f>
              <c:numCache>
                <c:formatCode>0.0000000000</c:formatCode>
                <c:ptCount val="49"/>
                <c:pt idx="0">
                  <c:v>1386</c:v>
                </c:pt>
                <c:pt idx="1">
                  <c:v>1386.0000001801748</c:v>
                </c:pt>
                <c:pt idx="2">
                  <c:v>1386.0000005264083</c:v>
                </c:pt>
                <c:pt idx="3">
                  <c:v>1386.0000007125284</c:v>
                </c:pt>
                <c:pt idx="4">
                  <c:v>1386.0000007125284</c:v>
                </c:pt>
                <c:pt idx="5">
                  <c:v>1386.0000016264762</c:v>
                </c:pt>
                <c:pt idx="6">
                  <c:v>1386.0000016264762</c:v>
                </c:pt>
                <c:pt idx="7">
                  <c:v>1386.0000025782811</c:v>
                </c:pt>
                <c:pt idx="8">
                  <c:v>1386.0000026608132</c:v>
                </c:pt>
                <c:pt idx="9">
                  <c:v>1386.0000030674585</c:v>
                </c:pt>
                <c:pt idx="10">
                  <c:v>1386.0000034692373</c:v>
                </c:pt>
                <c:pt idx="11">
                  <c:v>1386.0000036273286</c:v>
                </c:pt>
                <c:pt idx="12">
                  <c:v>1386.0000040794214</c:v>
                </c:pt>
                <c:pt idx="13">
                  <c:v>1386.0000044230362</c:v>
                </c:pt>
                <c:pt idx="14">
                  <c:v>1386.0000045722247</c:v>
                </c:pt>
                <c:pt idx="15">
                  <c:v>1386.0000046693522</c:v>
                </c:pt>
                <c:pt idx="16">
                  <c:v>1386.0000051819575</c:v>
                </c:pt>
                <c:pt idx="17">
                  <c:v>1386.0000058759997</c:v>
                </c:pt>
                <c:pt idx="18">
                  <c:v>1386.0000067163883</c:v>
                </c:pt>
                <c:pt idx="19">
                  <c:v>1386.0000072648975</c:v>
                </c:pt>
                <c:pt idx="20">
                  <c:v>1386.000007901994</c:v>
                </c:pt>
                <c:pt idx="21">
                  <c:v>1386.0000084376402</c:v>
                </c:pt>
                <c:pt idx="22">
                  <c:v>1386.0000087606968</c:v>
                </c:pt>
                <c:pt idx="23">
                  <c:v>1386.000009294263</c:v>
                </c:pt>
                <c:pt idx="24">
                  <c:v>1386.0000098200444</c:v>
                </c:pt>
                <c:pt idx="25">
                  <c:v>1386.0000101937071</c:v>
                </c:pt>
                <c:pt idx="26">
                  <c:v>1386.0000107807712</c:v>
                </c:pt>
                <c:pt idx="27">
                  <c:v>1386.0000113608653</c:v>
                </c:pt>
                <c:pt idx="28">
                  <c:v>1386.0000117179675</c:v>
                </c:pt>
                <c:pt idx="29">
                  <c:v>1386.0000121703965</c:v>
                </c:pt>
                <c:pt idx="30">
                  <c:v>1386.0000124186877</c:v>
                </c:pt>
                <c:pt idx="31">
                  <c:v>1386.0000132711075</c:v>
                </c:pt>
                <c:pt idx="32">
                  <c:v>1386.0000139732622</c:v>
                </c:pt>
                <c:pt idx="33">
                  <c:v>1386.0000146466339</c:v>
                </c:pt>
                <c:pt idx="34">
                  <c:v>1386.0000151849231</c:v>
                </c:pt>
                <c:pt idx="35">
                  <c:v>1386.0000151849231</c:v>
                </c:pt>
                <c:pt idx="36">
                  <c:v>1386.0000153909903</c:v>
                </c:pt>
                <c:pt idx="37">
                  <c:v>1386.0000159593064</c:v>
                </c:pt>
                <c:pt idx="38">
                  <c:v>1386.1000162932589</c:v>
                </c:pt>
                <c:pt idx="39">
                  <c:v>1386.1000164222985</c:v>
                </c:pt>
                <c:pt idx="40">
                  <c:v>1386.1000172382826</c:v>
                </c:pt>
                <c:pt idx="41">
                  <c:v>1386.1000174488017</c:v>
                </c:pt>
                <c:pt idx="42">
                  <c:v>1386.1000179154782</c:v>
                </c:pt>
                <c:pt idx="43">
                  <c:v>1386.1000183468684</c:v>
                </c:pt>
                <c:pt idx="44">
                  <c:v>1386.1000187180973</c:v>
                </c:pt>
                <c:pt idx="45">
                  <c:v>1386.1000194109301</c:v>
                </c:pt>
                <c:pt idx="46">
                  <c:v>1386.1000196736377</c:v>
                </c:pt>
                <c:pt idx="47">
                  <c:v>1386.100019777537</c:v>
                </c:pt>
                <c:pt idx="48">
                  <c:v>1386.1000202332168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28-4DE0-BA2D-1CA833BA5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443680"/>
        <c:axId val="490444640"/>
      </c:scatterChart>
      <c:valAx>
        <c:axId val="49044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44640"/>
        <c:crosses val="autoZero"/>
        <c:crossBetween val="midCat"/>
      </c:valAx>
      <c:valAx>
        <c:axId val="49044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4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Sheet3!$G$2:$G$50</c:f>
              <c:numCache>
                <c:formatCode>0.0000000000</c:formatCode>
                <c:ptCount val="49"/>
                <c:pt idx="0">
                  <c:v>4494</c:v>
                </c:pt>
                <c:pt idx="1">
                  <c:v>4494.0000001169756</c:v>
                </c:pt>
                <c:pt idx="2">
                  <c:v>4494.0000001226717</c:v>
                </c:pt>
                <c:pt idx="3">
                  <c:v>4494.0000005349557</c:v>
                </c:pt>
                <c:pt idx="4">
                  <c:v>4494.0000014665184</c:v>
                </c:pt>
                <c:pt idx="5">
                  <c:v>4494.0000016949552</c:v>
                </c:pt>
                <c:pt idx="6">
                  <c:v>4494.000002018528</c:v>
                </c:pt>
                <c:pt idx="7">
                  <c:v>4494.00000247144</c:v>
                </c:pt>
                <c:pt idx="8">
                  <c:v>4494.0000024942065</c:v>
                </c:pt>
                <c:pt idx="9">
                  <c:v>4494.0000031539375</c:v>
                </c:pt>
                <c:pt idx="10">
                  <c:v>4494.0000037137988</c:v>
                </c:pt>
                <c:pt idx="11">
                  <c:v>4494.00000449035</c:v>
                </c:pt>
                <c:pt idx="12">
                  <c:v>4494.0000051930701</c:v>
                </c:pt>
                <c:pt idx="13">
                  <c:v>4494.0000057420084</c:v>
                </c:pt>
                <c:pt idx="14">
                  <c:v>4494.0000067420087</c:v>
                </c:pt>
                <c:pt idx="15">
                  <c:v>4494.00000703555</c:v>
                </c:pt>
                <c:pt idx="16">
                  <c:v>4494.0000072189578</c:v>
                </c:pt>
                <c:pt idx="17">
                  <c:v>4494.0000077496352</c:v>
                </c:pt>
                <c:pt idx="18">
                  <c:v>4494.0000082948873</c:v>
                </c:pt>
                <c:pt idx="19">
                  <c:v>4494.0000082948873</c:v>
                </c:pt>
                <c:pt idx="20">
                  <c:v>4494.0000090825451</c:v>
                </c:pt>
                <c:pt idx="21">
                  <c:v>4494.0000096961212</c:v>
                </c:pt>
                <c:pt idx="22">
                  <c:v>4494.000010266227</c:v>
                </c:pt>
                <c:pt idx="23">
                  <c:v>4494.0000111689824</c:v>
                </c:pt>
                <c:pt idx="24">
                  <c:v>4494.0000115845951</c:v>
                </c:pt>
                <c:pt idx="25">
                  <c:v>4494.0000119173628</c:v>
                </c:pt>
                <c:pt idx="26">
                  <c:v>4494.0000119173628</c:v>
                </c:pt>
                <c:pt idx="27">
                  <c:v>4494.0000123509981</c:v>
                </c:pt>
                <c:pt idx="28">
                  <c:v>4494.0000128832335</c:v>
                </c:pt>
                <c:pt idx="29">
                  <c:v>4494.0000135523451</c:v>
                </c:pt>
                <c:pt idx="30">
                  <c:v>4494.0000138753376</c:v>
                </c:pt>
                <c:pt idx="31">
                  <c:v>4494.0000138753376</c:v>
                </c:pt>
                <c:pt idx="32">
                  <c:v>4494.0000139888616</c:v>
                </c:pt>
                <c:pt idx="33">
                  <c:v>4494.0000139888616</c:v>
                </c:pt>
                <c:pt idx="34">
                  <c:v>4494.0000144213045</c:v>
                </c:pt>
                <c:pt idx="35">
                  <c:v>4494.0000150666046</c:v>
                </c:pt>
                <c:pt idx="36">
                  <c:v>4494.000015448516</c:v>
                </c:pt>
                <c:pt idx="37">
                  <c:v>4494.0000155110638</c:v>
                </c:pt>
                <c:pt idx="38">
                  <c:v>4494.0000155702128</c:v>
                </c:pt>
                <c:pt idx="39">
                  <c:v>4494.0000160863419</c:v>
                </c:pt>
                <c:pt idx="40">
                  <c:v>4494.0000166275449</c:v>
                </c:pt>
                <c:pt idx="41">
                  <c:v>4494.0000168776533</c:v>
                </c:pt>
                <c:pt idx="42">
                  <c:v>4494.0000168776533</c:v>
                </c:pt>
                <c:pt idx="43">
                  <c:v>4494.0000173557464</c:v>
                </c:pt>
                <c:pt idx="44">
                  <c:v>4494.000017807457</c:v>
                </c:pt>
                <c:pt idx="45">
                  <c:v>4494.0000179219378</c:v>
                </c:pt>
                <c:pt idx="46">
                  <c:v>4494.0000180503803</c:v>
                </c:pt>
                <c:pt idx="47">
                  <c:v>4494.0000185191393</c:v>
                </c:pt>
                <c:pt idx="48">
                  <c:v>4494.0000188711238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79-4F68-A2AB-AF2DE88B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399040"/>
        <c:axId val="490388480"/>
      </c:scatterChart>
      <c:valAx>
        <c:axId val="49039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88480"/>
        <c:crosses val="autoZero"/>
        <c:crossBetween val="midCat"/>
      </c:valAx>
      <c:valAx>
        <c:axId val="4903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9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Sheet4!$F$2:$F$50</c:f>
              <c:numCache>
                <c:formatCode>0.000000000</c:formatCode>
                <c:ptCount val="49"/>
                <c:pt idx="0">
                  <c:v>1386</c:v>
                </c:pt>
                <c:pt idx="1">
                  <c:v>1386.0176110438961</c:v>
                </c:pt>
                <c:pt idx="2">
                  <c:v>1386.0291882455538</c:v>
                </c:pt>
                <c:pt idx="3">
                  <c:v>1386.0324438510618</c:v>
                </c:pt>
                <c:pt idx="4">
                  <c:v>1386.0324438552814</c:v>
                </c:pt>
                <c:pt idx="5">
                  <c:v>1386.0324438619423</c:v>
                </c:pt>
                <c:pt idx="6">
                  <c:v>1386.0324438668536</c:v>
                </c:pt>
                <c:pt idx="7">
                  <c:v>1386.0324438672435</c:v>
                </c:pt>
                <c:pt idx="8">
                  <c:v>1386.0429810129874</c:v>
                </c:pt>
                <c:pt idx="9">
                  <c:v>1386.0568739525615</c:v>
                </c:pt>
                <c:pt idx="10">
                  <c:v>1386.0657274898892</c:v>
                </c:pt>
                <c:pt idx="11">
                  <c:v>1386.0674135370284</c:v>
                </c:pt>
                <c:pt idx="12">
                  <c:v>1386.0674135370284</c:v>
                </c:pt>
                <c:pt idx="13">
                  <c:v>1386.0780764280905</c:v>
                </c:pt>
                <c:pt idx="14">
                  <c:v>1386.0889599062309</c:v>
                </c:pt>
                <c:pt idx="15">
                  <c:v>1386.0896730408101</c:v>
                </c:pt>
                <c:pt idx="16">
                  <c:v>1386.0896730408101</c:v>
                </c:pt>
                <c:pt idx="17">
                  <c:v>1386.0985324244537</c:v>
                </c:pt>
                <c:pt idx="18">
                  <c:v>1386.0985324365306</c:v>
                </c:pt>
                <c:pt idx="19">
                  <c:v>1386.1024463803058</c:v>
                </c:pt>
                <c:pt idx="20">
                  <c:v>1386.1024463803058</c:v>
                </c:pt>
                <c:pt idx="21">
                  <c:v>1386.1094830640802</c:v>
                </c:pt>
                <c:pt idx="22">
                  <c:v>1386.1094830648744</c:v>
                </c:pt>
                <c:pt idx="23">
                  <c:v>1386.1120420716938</c:v>
                </c:pt>
                <c:pt idx="24">
                  <c:v>1386.1369929651232</c:v>
                </c:pt>
                <c:pt idx="25">
                  <c:v>1386.1369929776613</c:v>
                </c:pt>
                <c:pt idx="26">
                  <c:v>1386.13744975344</c:v>
                </c:pt>
                <c:pt idx="27">
                  <c:v>1386.1495423161732</c:v>
                </c:pt>
                <c:pt idx="28">
                  <c:v>1386.1495424183038</c:v>
                </c:pt>
                <c:pt idx="29">
                  <c:v>1386.1495424442771</c:v>
                </c:pt>
                <c:pt idx="30">
                  <c:v>1386.1499676755966</c:v>
                </c:pt>
                <c:pt idx="31">
                  <c:v>1386.1520236775141</c:v>
                </c:pt>
                <c:pt idx="32">
                  <c:v>1386.1520236775141</c:v>
                </c:pt>
                <c:pt idx="33">
                  <c:v>1386.1616486698388</c:v>
                </c:pt>
                <c:pt idx="34">
                  <c:v>1386.1616486698388</c:v>
                </c:pt>
                <c:pt idx="35">
                  <c:v>1386.1618277640123</c:v>
                </c:pt>
                <c:pt idx="36">
                  <c:v>1386.1744776920295</c:v>
                </c:pt>
                <c:pt idx="37">
                  <c:v>1386.1744777140805</c:v>
                </c:pt>
                <c:pt idx="38">
                  <c:v>1386.1744777140805</c:v>
                </c:pt>
                <c:pt idx="39">
                  <c:v>1386.174477724815</c:v>
                </c:pt>
                <c:pt idx="40">
                  <c:v>1386.174477724815</c:v>
                </c:pt>
                <c:pt idx="41">
                  <c:v>1386.1921335348522</c:v>
                </c:pt>
                <c:pt idx="42">
                  <c:v>1386.1921335348522</c:v>
                </c:pt>
                <c:pt idx="43">
                  <c:v>1386.1921336618502</c:v>
                </c:pt>
                <c:pt idx="44">
                  <c:v>1386.2084806158498</c:v>
                </c:pt>
                <c:pt idx="45">
                  <c:v>1386.2124842924936</c:v>
                </c:pt>
                <c:pt idx="46">
                  <c:v>1386.2219749579674</c:v>
                </c:pt>
                <c:pt idx="47">
                  <c:v>1386.2219750286145</c:v>
                </c:pt>
                <c:pt idx="48">
                  <c:v>1386.2219750286145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F7-4A91-8A2D-EC416FD4A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416800"/>
        <c:axId val="490415840"/>
      </c:scatterChart>
      <c:valAx>
        <c:axId val="4904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15840"/>
        <c:crosses val="autoZero"/>
        <c:crossBetween val="midCat"/>
      </c:valAx>
      <c:valAx>
        <c:axId val="490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Sheet4!$G$2:$G$50</c:f>
              <c:numCache>
                <c:formatCode>0.000000000</c:formatCode>
                <c:ptCount val="49"/>
                <c:pt idx="0">
                  <c:v>4494</c:v>
                </c:pt>
                <c:pt idx="1">
                  <c:v>4494.0075458283063</c:v>
                </c:pt>
                <c:pt idx="2">
                  <c:v>4494.0118383266381</c:v>
                </c:pt>
                <c:pt idx="3">
                  <c:v>4494.0118383266381</c:v>
                </c:pt>
                <c:pt idx="4">
                  <c:v>4494.0118383375111</c:v>
                </c:pt>
                <c:pt idx="5">
                  <c:v>4494.0118384451862</c:v>
                </c:pt>
                <c:pt idx="6">
                  <c:v>4494.035311138502</c:v>
                </c:pt>
                <c:pt idx="7">
                  <c:v>4494.0380633573495</c:v>
                </c:pt>
                <c:pt idx="8">
                  <c:v>4494.0438408056216</c:v>
                </c:pt>
                <c:pt idx="9">
                  <c:v>4494.0450273132301</c:v>
                </c:pt>
                <c:pt idx="10">
                  <c:v>4494.0507808189868</c:v>
                </c:pt>
                <c:pt idx="11">
                  <c:v>4494.0507808305329</c:v>
                </c:pt>
                <c:pt idx="12">
                  <c:v>4494.0507808305329</c:v>
                </c:pt>
                <c:pt idx="13">
                  <c:v>4494.0534146434557</c:v>
                </c:pt>
                <c:pt idx="14">
                  <c:v>4494.0668758398242</c:v>
                </c:pt>
                <c:pt idx="15">
                  <c:v>4494.0668758398242</c:v>
                </c:pt>
                <c:pt idx="16">
                  <c:v>4494.0669876646571</c:v>
                </c:pt>
                <c:pt idx="17">
                  <c:v>4494.0669876719357</c:v>
                </c:pt>
                <c:pt idx="18">
                  <c:v>4494.0670300866323</c:v>
                </c:pt>
                <c:pt idx="19">
                  <c:v>4494.0716278042419</c:v>
                </c:pt>
                <c:pt idx="20">
                  <c:v>4494.0716593743227</c:v>
                </c:pt>
                <c:pt idx="21">
                  <c:v>4494.0844232264017</c:v>
                </c:pt>
                <c:pt idx="22">
                  <c:v>4494.0940162870111</c:v>
                </c:pt>
                <c:pt idx="23">
                  <c:v>4494.0941149339542</c:v>
                </c:pt>
                <c:pt idx="24">
                  <c:v>4494.0942428427197</c:v>
                </c:pt>
                <c:pt idx="25">
                  <c:v>4494.0943136320566</c:v>
                </c:pt>
                <c:pt idx="26">
                  <c:v>4494.1126840090792</c:v>
                </c:pt>
                <c:pt idx="27">
                  <c:v>4494.1126840150118</c:v>
                </c:pt>
                <c:pt idx="28">
                  <c:v>4494.1126840150118</c:v>
                </c:pt>
                <c:pt idx="29">
                  <c:v>4494.1126840150118</c:v>
                </c:pt>
                <c:pt idx="30">
                  <c:v>4494.1126840150118</c:v>
                </c:pt>
                <c:pt idx="31">
                  <c:v>4494.1340100275047</c:v>
                </c:pt>
                <c:pt idx="32">
                  <c:v>4494.1393586616296</c:v>
                </c:pt>
                <c:pt idx="33">
                  <c:v>4494.1393731702183</c:v>
                </c:pt>
                <c:pt idx="34">
                  <c:v>4494.1393731820335</c:v>
                </c:pt>
                <c:pt idx="35">
                  <c:v>4494.1393879758425</c:v>
                </c:pt>
                <c:pt idx="36">
                  <c:v>4494.1394745329444</c:v>
                </c:pt>
                <c:pt idx="37">
                  <c:v>4494.1394745329444</c:v>
                </c:pt>
                <c:pt idx="38">
                  <c:v>4494.1439549221586</c:v>
                </c:pt>
                <c:pt idx="39">
                  <c:v>4494.1439777444812</c:v>
                </c:pt>
                <c:pt idx="40">
                  <c:v>4494.1439777732357</c:v>
                </c:pt>
                <c:pt idx="41">
                  <c:v>4494.1439779658976</c:v>
                </c:pt>
                <c:pt idx="42">
                  <c:v>4494.1439779942439</c:v>
                </c:pt>
                <c:pt idx="43">
                  <c:v>4494.1539794104956</c:v>
                </c:pt>
                <c:pt idx="44">
                  <c:v>4494.1540257926781</c:v>
                </c:pt>
                <c:pt idx="45">
                  <c:v>4494.1608959587547</c:v>
                </c:pt>
                <c:pt idx="46">
                  <c:v>4494.1608959587547</c:v>
                </c:pt>
                <c:pt idx="47">
                  <c:v>4494.1608959656087</c:v>
                </c:pt>
                <c:pt idx="48">
                  <c:v>4494.1608959656087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2B-4D8B-9B5C-D6DFBC45F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433744"/>
        <c:axId val="730438544"/>
      </c:scatterChart>
      <c:valAx>
        <c:axId val="73043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38544"/>
        <c:crosses val="autoZero"/>
        <c:crossBetween val="midCat"/>
      </c:valAx>
      <c:valAx>
        <c:axId val="7304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3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Sheet5!$F$2:$F$50</c:f>
              <c:numCache>
                <c:formatCode>0.00000000000</c:formatCode>
                <c:ptCount val="49"/>
                <c:pt idx="0">
                  <c:v>1386</c:v>
                </c:pt>
                <c:pt idx="1">
                  <c:v>1386.0000000029897</c:v>
                </c:pt>
                <c:pt idx="2">
                  <c:v>1386.0000000140687</c:v>
                </c:pt>
                <c:pt idx="3">
                  <c:v>1386.0000000222451</c:v>
                </c:pt>
                <c:pt idx="4">
                  <c:v>1386.000000027256</c:v>
                </c:pt>
                <c:pt idx="5">
                  <c:v>1386.0000000358757</c:v>
                </c:pt>
                <c:pt idx="6">
                  <c:v>1386.0000000429172</c:v>
                </c:pt>
                <c:pt idx="7">
                  <c:v>1386.0000000465388</c:v>
                </c:pt>
                <c:pt idx="8">
                  <c:v>1386.000000050132</c:v>
                </c:pt>
                <c:pt idx="9">
                  <c:v>1386.0000000514397</c:v>
                </c:pt>
                <c:pt idx="10">
                  <c:v>1386.0000000638581</c:v>
                </c:pt>
                <c:pt idx="11">
                  <c:v>1386.0000000722985</c:v>
                </c:pt>
                <c:pt idx="12">
                  <c:v>1386.0000000772384</c:v>
                </c:pt>
                <c:pt idx="13">
                  <c:v>1386.0000000844245</c:v>
                </c:pt>
                <c:pt idx="14">
                  <c:v>1386.0000000891384</c:v>
                </c:pt>
                <c:pt idx="15">
                  <c:v>1386.0000000998086</c:v>
                </c:pt>
                <c:pt idx="16">
                  <c:v>1386.0000001029</c:v>
                </c:pt>
                <c:pt idx="17">
                  <c:v>1386.0000001126316</c:v>
                </c:pt>
                <c:pt idx="18">
                  <c:v>1386.0000001159938</c:v>
                </c:pt>
                <c:pt idx="19">
                  <c:v>1386.0000001227368</c:v>
                </c:pt>
                <c:pt idx="20">
                  <c:v>1386.0000001354963</c:v>
                </c:pt>
                <c:pt idx="21">
                  <c:v>1386.0000001418728</c:v>
                </c:pt>
                <c:pt idx="22">
                  <c:v>1386.0000001504336</c:v>
                </c:pt>
                <c:pt idx="23">
                  <c:v>1386.0000001594858</c:v>
                </c:pt>
                <c:pt idx="24">
                  <c:v>1386.0000001668236</c:v>
                </c:pt>
                <c:pt idx="25">
                  <c:v>1386.0000001748581</c:v>
                </c:pt>
                <c:pt idx="26">
                  <c:v>1386.0000001857957</c:v>
                </c:pt>
                <c:pt idx="27">
                  <c:v>1386.0000001923831</c:v>
                </c:pt>
                <c:pt idx="28">
                  <c:v>1386.0000001923831</c:v>
                </c:pt>
                <c:pt idx="29">
                  <c:v>1386.0000001982489</c:v>
                </c:pt>
                <c:pt idx="30">
                  <c:v>1386.0000002111126</c:v>
                </c:pt>
                <c:pt idx="31">
                  <c:v>1386.0000002111126</c:v>
                </c:pt>
                <c:pt idx="32">
                  <c:v>1386.0000002155277</c:v>
                </c:pt>
                <c:pt idx="33">
                  <c:v>1386.0000002266436</c:v>
                </c:pt>
                <c:pt idx="34">
                  <c:v>1386.0000002331005</c:v>
                </c:pt>
                <c:pt idx="35">
                  <c:v>1386.0000002363183</c:v>
                </c:pt>
                <c:pt idx="36">
                  <c:v>1386.0000002423296</c:v>
                </c:pt>
                <c:pt idx="37">
                  <c:v>1386.0000002423296</c:v>
                </c:pt>
                <c:pt idx="38">
                  <c:v>1386.0000002423296</c:v>
                </c:pt>
                <c:pt idx="39">
                  <c:v>1386.0000002512484</c:v>
                </c:pt>
                <c:pt idx="40">
                  <c:v>1386.0000002540687</c:v>
                </c:pt>
                <c:pt idx="41">
                  <c:v>1386.0000002590145</c:v>
                </c:pt>
                <c:pt idx="42">
                  <c:v>1386.0000002594263</c:v>
                </c:pt>
                <c:pt idx="43">
                  <c:v>1386.000000264175</c:v>
                </c:pt>
                <c:pt idx="44">
                  <c:v>1386.0000002742706</c:v>
                </c:pt>
                <c:pt idx="45">
                  <c:v>1386.0000002827096</c:v>
                </c:pt>
                <c:pt idx="46">
                  <c:v>1386.0000002881566</c:v>
                </c:pt>
                <c:pt idx="47">
                  <c:v>1386.0000002990864</c:v>
                </c:pt>
                <c:pt idx="48">
                  <c:v>1386.0000002990864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10-4277-B5BC-5F43FFAC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446224"/>
        <c:axId val="730446704"/>
      </c:scatterChart>
      <c:valAx>
        <c:axId val="73044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46704"/>
        <c:crosses val="autoZero"/>
        <c:crossBetween val="midCat"/>
      </c:valAx>
      <c:valAx>
        <c:axId val="7304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4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Sheet5!$A$2:$A$50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Sheet5!$G$2:$G$50</c:f>
              <c:numCache>
                <c:formatCode>0.00000000000</c:formatCode>
                <c:ptCount val="49"/>
                <c:pt idx="0">
                  <c:v>4494</c:v>
                </c:pt>
                <c:pt idx="1">
                  <c:v>4494.0000000088266</c:v>
                </c:pt>
                <c:pt idx="2">
                  <c:v>4494.0000000156961</c:v>
                </c:pt>
                <c:pt idx="3">
                  <c:v>4494.0000000217324</c:v>
                </c:pt>
                <c:pt idx="4">
                  <c:v>4494.0000000217442</c:v>
                </c:pt>
                <c:pt idx="5">
                  <c:v>4494.0000000303116</c:v>
                </c:pt>
                <c:pt idx="6">
                  <c:v>4494.0000000424816</c:v>
                </c:pt>
                <c:pt idx="7">
                  <c:v>4494.0000000493201</c:v>
                </c:pt>
                <c:pt idx="8">
                  <c:v>4494.0000000604396</c:v>
                </c:pt>
                <c:pt idx="9">
                  <c:v>4494.0000000657028</c:v>
                </c:pt>
                <c:pt idx="10">
                  <c:v>4494.0000000813279</c:v>
                </c:pt>
                <c:pt idx="11">
                  <c:v>4494.0000000893433</c:v>
                </c:pt>
                <c:pt idx="12">
                  <c:v>4494.0000000919317</c:v>
                </c:pt>
                <c:pt idx="13">
                  <c:v>4494.0000001007311</c:v>
                </c:pt>
                <c:pt idx="14">
                  <c:v>4494.0000001084263</c:v>
                </c:pt>
                <c:pt idx="15">
                  <c:v>4494.0000001198696</c:v>
                </c:pt>
                <c:pt idx="16">
                  <c:v>4494.0000001226144</c:v>
                </c:pt>
                <c:pt idx="17">
                  <c:v>4494.0000001302142</c:v>
                </c:pt>
                <c:pt idx="18">
                  <c:v>4494.0000001393601</c:v>
                </c:pt>
                <c:pt idx="19">
                  <c:v>4494.0000001484586</c:v>
                </c:pt>
                <c:pt idx="20">
                  <c:v>4494.0000001589378</c:v>
                </c:pt>
                <c:pt idx="21">
                  <c:v>4494.0000001704502</c:v>
                </c:pt>
                <c:pt idx="22">
                  <c:v>4494.0000001797953</c:v>
                </c:pt>
                <c:pt idx="23">
                  <c:v>4494.0000001839562</c:v>
                </c:pt>
                <c:pt idx="24">
                  <c:v>4494.0000001908884</c:v>
                </c:pt>
                <c:pt idx="25">
                  <c:v>4494.0000002002116</c:v>
                </c:pt>
                <c:pt idx="26">
                  <c:v>4494.0000002024926</c:v>
                </c:pt>
                <c:pt idx="27">
                  <c:v>4494.000000207112</c:v>
                </c:pt>
                <c:pt idx="28">
                  <c:v>4494.0000002103498</c:v>
                </c:pt>
                <c:pt idx="29">
                  <c:v>4494.0000002233846</c:v>
                </c:pt>
                <c:pt idx="30">
                  <c:v>4494.0000002373972</c:v>
                </c:pt>
                <c:pt idx="31">
                  <c:v>4494.0000002415209</c:v>
                </c:pt>
                <c:pt idx="32">
                  <c:v>4494.0000002488641</c:v>
                </c:pt>
                <c:pt idx="33">
                  <c:v>4494.0000002544957</c:v>
                </c:pt>
                <c:pt idx="34">
                  <c:v>4494.0000002633506</c:v>
                </c:pt>
                <c:pt idx="35">
                  <c:v>4494.000000273204</c:v>
                </c:pt>
                <c:pt idx="36">
                  <c:v>4494.0000002833112</c:v>
                </c:pt>
                <c:pt idx="37">
                  <c:v>4494.0000002884944</c:v>
                </c:pt>
                <c:pt idx="38">
                  <c:v>4494.000000299925</c:v>
                </c:pt>
                <c:pt idx="39">
                  <c:v>4494.000000307853</c:v>
                </c:pt>
                <c:pt idx="40">
                  <c:v>4494.0000003105706</c:v>
                </c:pt>
                <c:pt idx="41">
                  <c:v>4494.0000003198738</c:v>
                </c:pt>
                <c:pt idx="42">
                  <c:v>4494.0000003265213</c:v>
                </c:pt>
                <c:pt idx="43">
                  <c:v>4494.0000003370333</c:v>
                </c:pt>
                <c:pt idx="44">
                  <c:v>4494.0000003402083</c:v>
                </c:pt>
                <c:pt idx="45">
                  <c:v>4494.0000003441246</c:v>
                </c:pt>
                <c:pt idx="46">
                  <c:v>4494.0000003533733</c:v>
                </c:pt>
                <c:pt idx="47">
                  <c:v>4494.000000362741</c:v>
                </c:pt>
                <c:pt idx="48">
                  <c:v>4494.000000362741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EF-4983-8447-F6636C5E4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470704"/>
        <c:axId val="730464464"/>
      </c:scatterChart>
      <c:valAx>
        <c:axId val="73047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64464"/>
        <c:crosses val="autoZero"/>
        <c:crossBetween val="midCat"/>
      </c:valAx>
      <c:valAx>
        <c:axId val="7304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7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11</xdr:row>
      <xdr:rowOff>171450</xdr:rowOff>
    </xdr:from>
    <xdr:to>
      <xdr:col>17</xdr:col>
      <xdr:colOff>312420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3B8AA-CFB0-E1FB-62F1-29D7CA402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27</xdr:row>
      <xdr:rowOff>171450</xdr:rowOff>
    </xdr:from>
    <xdr:to>
      <xdr:col>17</xdr:col>
      <xdr:colOff>312420</xdr:colOff>
      <xdr:row>42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7AA3CF-AE4B-A274-FC06-99440BFEF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12</xdr:row>
      <xdr:rowOff>3810</xdr:rowOff>
    </xdr:from>
    <xdr:to>
      <xdr:col>17</xdr:col>
      <xdr:colOff>327660</xdr:colOff>
      <xdr:row>27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7CEB9-F82E-83BE-01FD-A2E8CD847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28</xdr:row>
      <xdr:rowOff>26670</xdr:rowOff>
    </xdr:from>
    <xdr:to>
      <xdr:col>17</xdr:col>
      <xdr:colOff>312420</xdr:colOff>
      <xdr:row>43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819B3-0913-B080-B2B5-3CB98742B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11430</xdr:rowOff>
    </xdr:from>
    <xdr:to>
      <xdr:col>17</xdr:col>
      <xdr:colOff>304800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EC3A1-F9BD-2C86-DD4E-6265131E7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27</xdr:row>
      <xdr:rowOff>171450</xdr:rowOff>
    </xdr:from>
    <xdr:to>
      <xdr:col>17</xdr:col>
      <xdr:colOff>297180</xdr:colOff>
      <xdr:row>42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C77B19-C9CE-9A44-8862-695304F9E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12</xdr:row>
      <xdr:rowOff>11430</xdr:rowOff>
    </xdr:from>
    <xdr:to>
      <xdr:col>17</xdr:col>
      <xdr:colOff>320040</xdr:colOff>
      <xdr:row>27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83C87-EBE6-2C69-DA09-8A548FC05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28</xdr:row>
      <xdr:rowOff>3810</xdr:rowOff>
    </xdr:from>
    <xdr:to>
      <xdr:col>17</xdr:col>
      <xdr:colOff>327660</xdr:colOff>
      <xdr:row>43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D148C-6D0D-EE70-EF34-8ABD1BDDF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586740</xdr:colOff>
      <xdr:row>11</xdr:row>
      <xdr:rowOff>179070</xdr:rowOff>
    </xdr:from>
    <xdr:to>
      <xdr:col>17</xdr:col>
      <xdr:colOff>281940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39BF7-9716-01EF-DB9A-EC5CEF4F7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29</xdr:row>
      <xdr:rowOff>3810</xdr:rowOff>
    </xdr:from>
    <xdr:to>
      <xdr:col>17</xdr:col>
      <xdr:colOff>320040</xdr:colOff>
      <xdr:row>44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6BD1E-1B15-DD44-D971-BA2D831F2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B1E4-FBAA-49EC-961A-1F0B55E322A7}">
  <dimension ref="A1:K50"/>
  <sheetViews>
    <sheetView topLeftCell="F1" workbookViewId="0">
      <selection activeCell="F19" sqref="F19:G20"/>
    </sheetView>
  </sheetViews>
  <sheetFormatPr defaultRowHeight="14.4" x14ac:dyDescent="0.3"/>
  <cols>
    <col min="6" max="7" width="14.664062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0</v>
      </c>
    </row>
    <row r="2" spans="1:11" x14ac:dyDescent="0.3">
      <c r="A2">
        <v>0</v>
      </c>
      <c r="B2">
        <f ca="1">($K$5+($K$6-$K$5)*RAND())/100</f>
        <v>1.2920123108762307E-2</v>
      </c>
      <c r="C2">
        <f ca="1">($K$7 + ($K$8-$K$7)*RAND())/100</f>
        <v>1.6089531625150304E-2</v>
      </c>
      <c r="D2">
        <v>2.7603622796091606E-3</v>
      </c>
      <c r="E2">
        <v>1.1052837288158777E-3</v>
      </c>
      <c r="F2" s="2">
        <f>$K$4</f>
        <v>1386</v>
      </c>
      <c r="G2" s="2">
        <f>$K$3</f>
        <v>4494</v>
      </c>
      <c r="H2">
        <f>($K$2/1000)*(D3^2 + E3^2)</f>
        <v>9.1102889946639158E-6</v>
      </c>
      <c r="I2">
        <f ca="1">C3*F3 - B3*G3 - H3</f>
        <v>-46.451835420639682</v>
      </c>
      <c r="J2" t="s">
        <v>1</v>
      </c>
      <c r="K2">
        <v>9</v>
      </c>
    </row>
    <row r="3" spans="1:11" x14ac:dyDescent="0.3">
      <c r="A3">
        <v>1</v>
      </c>
      <c r="B3">
        <f ca="1">($K$5+($K$6-$K$5)*RAND())/100</f>
        <v>1.5208047668268016E-2</v>
      </c>
      <c r="C3">
        <f ca="1">($K$7 + ($K$8-$K$7)*RAND())/100</f>
        <v>1.5796126691524692E-2</v>
      </c>
      <c r="D3">
        <v>1.0027920555572481E-2</v>
      </c>
      <c r="E3">
        <v>3.0194289891824946E-2</v>
      </c>
      <c r="F3" s="2">
        <f>F2 + D3</f>
        <v>1386.0100279205556</v>
      </c>
      <c r="G3" s="2">
        <f>G2 + E3</f>
        <v>4494.0301942898923</v>
      </c>
      <c r="H3">
        <f>($K$2/1000)*(D4^2 + E4^2)</f>
        <v>0</v>
      </c>
      <c r="I3">
        <f t="shared" ref="I3:I50" ca="1" si="0">C4*F4 - B4*G4 - H4</f>
        <v>-46.515994229399325</v>
      </c>
      <c r="J3" t="s">
        <v>2</v>
      </c>
      <c r="K3">
        <v>4494</v>
      </c>
    </row>
    <row r="4" spans="1:11" x14ac:dyDescent="0.3">
      <c r="A4">
        <v>2</v>
      </c>
      <c r="B4">
        <f ca="1">($K$5+($K$6-$K$5)*RAND())/100</f>
        <v>1.5241354344854669E-2</v>
      </c>
      <c r="C4">
        <f ca="1">($K$7 + ($K$8-$K$7)*RAND())/100</f>
        <v>1.5857839659549722E-2</v>
      </c>
      <c r="D4">
        <v>0</v>
      </c>
      <c r="E4">
        <v>0</v>
      </c>
      <c r="F4" s="2">
        <f t="shared" ref="F4:F50" si="1">F3 + D4</f>
        <v>1386.0100279205556</v>
      </c>
      <c r="G4" s="2">
        <f t="shared" ref="G4:G50" si="2">G3 + E4</f>
        <v>4494.0301942898923</v>
      </c>
      <c r="H4">
        <f>($K$2/1000)*(D5^2 + E5^2)</f>
        <v>1.2391043202813501E-5</v>
      </c>
      <c r="I4">
        <f t="shared" ca="1" si="0"/>
        <v>-40.459564797343532</v>
      </c>
      <c r="J4" t="s">
        <v>3</v>
      </c>
      <c r="K4">
        <v>1386</v>
      </c>
    </row>
    <row r="5" spans="1:11" x14ac:dyDescent="0.3">
      <c r="A5">
        <v>3</v>
      </c>
      <c r="B5">
        <f ca="1">($K$5+($K$6-$K$5)*RAND())/100</f>
        <v>1.3852692037330592E-2</v>
      </c>
      <c r="C5">
        <f ca="1">($K$7 + ($K$8-$K$7)*RAND())/100</f>
        <v>1.5724570619689567E-2</v>
      </c>
      <c r="D5">
        <v>3.596539317136363E-2</v>
      </c>
      <c r="E5">
        <v>9.1254080522253644E-3</v>
      </c>
      <c r="F5" s="2">
        <f t="shared" si="1"/>
        <v>1386.045993313727</v>
      </c>
      <c r="G5" s="2">
        <f t="shared" si="2"/>
        <v>4494.0393196979448</v>
      </c>
      <c r="H5">
        <f>($K$2/1000)*(D6^2 + E6^2)</f>
        <v>2.0191269773521719E-7</v>
      </c>
      <c r="I5">
        <f t="shared" ca="1" si="0"/>
        <v>-38.606709503921707</v>
      </c>
      <c r="J5" t="s">
        <v>4</v>
      </c>
      <c r="K5">
        <v>1.24</v>
      </c>
    </row>
    <row r="6" spans="1:11" x14ac:dyDescent="0.3">
      <c r="A6">
        <v>4</v>
      </c>
      <c r="B6">
        <f ca="1">($K$5+($K$6-$K$5)*RAND())/100</f>
        <v>1.346764183444751E-2</v>
      </c>
      <c r="C6">
        <f ca="1">($K$7 + ($K$8-$K$7)*RAND())/100</f>
        <v>1.5812940061883336E-2</v>
      </c>
      <c r="D6">
        <v>2.550737443579908E-4</v>
      </c>
      <c r="E6">
        <v>4.7296597739944369E-3</v>
      </c>
      <c r="F6" s="2">
        <f t="shared" si="1"/>
        <v>1386.0462483874712</v>
      </c>
      <c r="G6" s="2">
        <f t="shared" si="2"/>
        <v>4494.0440493577189</v>
      </c>
      <c r="H6">
        <f>($K$2/1000)*(D7^2 + E7^2)</f>
        <v>1.0769114842241266E-7</v>
      </c>
      <c r="I6">
        <f t="shared" ca="1" si="0"/>
        <v>-35.611651363010104</v>
      </c>
      <c r="J6" t="s">
        <v>5</v>
      </c>
      <c r="K6">
        <v>1.56</v>
      </c>
    </row>
    <row r="7" spans="1:11" x14ac:dyDescent="0.3">
      <c r="A7">
        <v>5</v>
      </c>
      <c r="B7">
        <f ca="1">($K$5+($K$6-$K$5)*RAND())/100</f>
        <v>1.2771265308798359E-2</v>
      </c>
      <c r="C7">
        <f ca="1">($K$7 + ($K$8-$K$7)*RAND())/100</f>
        <v>1.5715880349379298E-2</v>
      </c>
      <c r="D7">
        <v>3.4591448593613208E-3</v>
      </c>
      <c r="E7">
        <v>0</v>
      </c>
      <c r="F7" s="2">
        <f t="shared" si="1"/>
        <v>1386.0497075323306</v>
      </c>
      <c r="G7" s="2">
        <f t="shared" si="2"/>
        <v>4494.0440493577189</v>
      </c>
      <c r="H7">
        <f>($K$2/1000)*(D8^2 + E8^2)</f>
        <v>1.3861106447452237E-5</v>
      </c>
      <c r="I7">
        <f t="shared" ca="1" si="0"/>
        <v>-39.098164382026411</v>
      </c>
      <c r="J7" t="s">
        <v>6</v>
      </c>
      <c r="K7">
        <v>1.57</v>
      </c>
    </row>
    <row r="8" spans="1:11" x14ac:dyDescent="0.3">
      <c r="A8">
        <v>6</v>
      </c>
      <c r="B8">
        <f ca="1">($K$5+($K$6-$K$5)*RAND())/100</f>
        <v>1.3581887432344208E-2</v>
      </c>
      <c r="C8">
        <f ca="1">($K$7 + ($K$8-$K$7)*RAND())/100</f>
        <v>1.5829135891784515E-2</v>
      </c>
      <c r="D8">
        <v>0</v>
      </c>
      <c r="E8">
        <v>3.924440009231641E-2</v>
      </c>
      <c r="F8" s="2">
        <f t="shared" si="1"/>
        <v>1386.0497075323306</v>
      </c>
      <c r="G8" s="2">
        <f t="shared" si="2"/>
        <v>4494.0832937578116</v>
      </c>
      <c r="H8">
        <f>($K$2/1000)*(D9^2 + E9^2)</f>
        <v>1.4792656903655272E-7</v>
      </c>
      <c r="I8">
        <f t="shared" ca="1" si="0"/>
        <v>-40.845972725965829</v>
      </c>
      <c r="J8" t="s">
        <v>7</v>
      </c>
      <c r="K8">
        <v>1.61</v>
      </c>
    </row>
    <row r="9" spans="1:11" x14ac:dyDescent="0.3">
      <c r="A9">
        <v>7</v>
      </c>
      <c r="B9">
        <f ca="1">($K$5+($K$6-$K$5)*RAND())/100</f>
        <v>1.3966481228967032E-2</v>
      </c>
      <c r="C9">
        <f ca="1">($K$7 + ($K$8-$K$7)*RAND())/100</f>
        <v>1.5815177375853234E-2</v>
      </c>
      <c r="D9">
        <v>0</v>
      </c>
      <c r="E9">
        <v>4.0541688973827743E-3</v>
      </c>
      <c r="F9" s="2">
        <f t="shared" si="1"/>
        <v>1386.0497075323306</v>
      </c>
      <c r="G9" s="2">
        <f t="shared" si="2"/>
        <v>4494.0873479267093</v>
      </c>
      <c r="H9">
        <f>($K$2/1000)*(D10^2 + E10^2)</f>
        <v>8.1161825151229863E-6</v>
      </c>
      <c r="I9">
        <f t="shared" ca="1" si="0"/>
        <v>-36.087537003594228</v>
      </c>
    </row>
    <row r="10" spans="1:11" x14ac:dyDescent="0.3">
      <c r="A10">
        <v>8</v>
      </c>
      <c r="B10">
        <f ca="1">($K$5+($K$6-$K$5)*RAND())/100</f>
        <v>1.2930191735305517E-2</v>
      </c>
      <c r="C10">
        <f ca="1">($K$7 + ($K$8-$K$7)*RAND())/100</f>
        <v>1.5888238755122287E-2</v>
      </c>
      <c r="D10">
        <v>1.9988118293556283E-2</v>
      </c>
      <c r="E10">
        <v>2.241145207965535E-2</v>
      </c>
      <c r="F10" s="2">
        <f t="shared" si="1"/>
        <v>1386.0696956506242</v>
      </c>
      <c r="G10" s="2">
        <f t="shared" si="2"/>
        <v>4494.109759378789</v>
      </c>
      <c r="H10">
        <f>($K$2/1000)*(D11^2 + E11^2)</f>
        <v>4.2391055547681832E-5</v>
      </c>
      <c r="I10">
        <f t="shared" ca="1" si="0"/>
        <v>-40.067444609715153</v>
      </c>
      <c r="K10" t="s">
        <v>17</v>
      </c>
    </row>
    <row r="11" spans="1:11" x14ac:dyDescent="0.3">
      <c r="A11">
        <v>9</v>
      </c>
      <c r="B11">
        <f ca="1">($K$5+($K$6-$K$5)*RAND())/100</f>
        <v>1.3817519115399256E-2</v>
      </c>
      <c r="C11">
        <f ca="1">($K$7 + ($K$8-$K$7)*RAND())/100</f>
        <v>1.5894552753204949E-2</v>
      </c>
      <c r="D11">
        <v>1.5877509068771623E-4</v>
      </c>
      <c r="E11">
        <v>6.8630110545928283E-2</v>
      </c>
      <c r="F11" s="2">
        <f t="shared" si="1"/>
        <v>1386.069854425715</v>
      </c>
      <c r="G11" s="2">
        <f t="shared" si="2"/>
        <v>4494.1783894893351</v>
      </c>
      <c r="H11">
        <f>($K$2/1000)*(D12^2 + E12^2)</f>
        <v>9.2257286519215137E-6</v>
      </c>
      <c r="I11">
        <f t="shared" ca="1" si="0"/>
        <v>-38.305033315555249</v>
      </c>
      <c r="K11">
        <f ca="1">SUM(I3:I50)</f>
        <v>-1920.9057276643125</v>
      </c>
    </row>
    <row r="12" spans="1:11" x14ac:dyDescent="0.3">
      <c r="A12">
        <v>10</v>
      </c>
      <c r="B12">
        <f ca="1">($K$5+($K$6-$K$5)*RAND())/100</f>
        <v>1.3389199917146481E-2</v>
      </c>
      <c r="C12">
        <f ca="1">($K$7 + ($K$8-$K$7)*RAND())/100</f>
        <v>1.5777608791953595E-2</v>
      </c>
      <c r="D12">
        <v>0</v>
      </c>
      <c r="E12">
        <v>3.2016885565660701E-2</v>
      </c>
      <c r="F12" s="2">
        <f t="shared" si="1"/>
        <v>1386.069854425715</v>
      </c>
      <c r="G12" s="2">
        <f t="shared" si="2"/>
        <v>4494.2104063749011</v>
      </c>
      <c r="H12">
        <f>($K$2/1000)*(D13^2 + E13^2)</f>
        <v>1.9636330561071848E-5</v>
      </c>
      <c r="I12">
        <f t="shared" ca="1" si="0"/>
        <v>-40.736811832512693</v>
      </c>
    </row>
    <row r="13" spans="1:11" x14ac:dyDescent="0.3">
      <c r="A13">
        <v>11</v>
      </c>
      <c r="B13">
        <f ca="1">($K$5+($K$6-$K$5)*RAND())/100</f>
        <v>1.3950819206664154E-2</v>
      </c>
      <c r="C13">
        <f ca="1">($K$7 + ($K$8-$K$7)*RAND())/100</f>
        <v>1.5844353554722211E-2</v>
      </c>
      <c r="D13">
        <v>1.9877582558299148E-2</v>
      </c>
      <c r="E13">
        <v>4.2269329524180561E-2</v>
      </c>
      <c r="F13" s="2">
        <f t="shared" si="1"/>
        <v>1386.0897320082734</v>
      </c>
      <c r="G13" s="2">
        <f t="shared" si="2"/>
        <v>4494.2526757044252</v>
      </c>
      <c r="H13">
        <f>($K$2/1000)*(D14^2 + E14^2)</f>
        <v>1.0572028709152052E-6</v>
      </c>
      <c r="I13">
        <f t="shared" ca="1" si="0"/>
        <v>-39.239755724578536</v>
      </c>
    </row>
    <row r="14" spans="1:11" x14ac:dyDescent="0.3">
      <c r="A14">
        <v>12</v>
      </c>
      <c r="B14">
        <f ca="1">($K$5+($K$6-$K$5)*RAND())/100</f>
        <v>1.3683144778008525E-2</v>
      </c>
      <c r="C14">
        <f ca="1">($K$7 + ($K$8-$K$7)*RAND())/100</f>
        <v>1.6056438371492968E-2</v>
      </c>
      <c r="D14">
        <v>1.0838218749280024E-2</v>
      </c>
      <c r="E14">
        <v>0</v>
      </c>
      <c r="F14" s="2">
        <f t="shared" si="1"/>
        <v>1386.1005702270227</v>
      </c>
      <c r="G14" s="2">
        <f t="shared" si="2"/>
        <v>4494.2526757044252</v>
      </c>
      <c r="H14">
        <f>($K$2/1000)*(D15^2 + E15^2)</f>
        <v>8.4076504137149709E-5</v>
      </c>
      <c r="I14">
        <f t="shared" ca="1" si="0"/>
        <v>-43.574723482136783</v>
      </c>
    </row>
    <row r="15" spans="1:11" x14ac:dyDescent="0.3">
      <c r="A15">
        <v>13</v>
      </c>
      <c r="B15">
        <f ca="1">($K$5+($K$6-$K$5)*RAND())/100</f>
        <v>1.4610222785485199E-2</v>
      </c>
      <c r="C15">
        <f ca="1">($K$7 + ($K$8-$K$7)*RAND())/100</f>
        <v>1.5934520667503158E-2</v>
      </c>
      <c r="D15">
        <v>8.037104651113082E-2</v>
      </c>
      <c r="E15">
        <v>5.3687323231115573E-2</v>
      </c>
      <c r="F15" s="2">
        <f t="shared" si="1"/>
        <v>1386.1809412735338</v>
      </c>
      <c r="G15" s="2">
        <f t="shared" si="2"/>
        <v>4494.3063630276565</v>
      </c>
      <c r="H15">
        <f>($K$2/1000)*(D16^2 + E16^2)</f>
        <v>3.510970110879696E-5</v>
      </c>
      <c r="I15">
        <f t="shared" ca="1" si="0"/>
        <v>-37.807006573633778</v>
      </c>
    </row>
    <row r="16" spans="1:11" x14ac:dyDescent="0.3">
      <c r="A16">
        <v>14</v>
      </c>
      <c r="B16">
        <f ca="1">($K$5+($K$6-$K$5)*RAND())/100</f>
        <v>1.3349762667930103E-2</v>
      </c>
      <c r="C16">
        <f ca="1">($K$7 + ($K$8-$K$7)*RAND())/100</f>
        <v>1.6008001604315158E-2</v>
      </c>
      <c r="D16">
        <v>6.2310422626827046E-2</v>
      </c>
      <c r="E16">
        <v>4.2998991899392694E-3</v>
      </c>
      <c r="F16" s="2">
        <f t="shared" si="1"/>
        <v>1386.2432516961605</v>
      </c>
      <c r="G16" s="2">
        <f t="shared" si="2"/>
        <v>4494.3106629268468</v>
      </c>
      <c r="H16">
        <f>($K$2/1000)*(D17^2 + E17^2)</f>
        <v>1.0064735970285024E-5</v>
      </c>
      <c r="I16">
        <f t="shared" ca="1" si="0"/>
        <v>-46.189882802692637</v>
      </c>
    </row>
    <row r="17" spans="1:9" x14ac:dyDescent="0.3">
      <c r="A17">
        <v>15</v>
      </c>
      <c r="B17">
        <f ca="1">($K$5+($K$6-$K$5)*RAND())/100</f>
        <v>1.5177505554663795E-2</v>
      </c>
      <c r="C17">
        <f ca="1">($K$7 + ($K$8-$K$7)*RAND())/100</f>
        <v>1.5886542729201984E-2</v>
      </c>
      <c r="D17">
        <v>2.2700233470312334E-2</v>
      </c>
      <c r="E17">
        <v>2.4556127485653098E-2</v>
      </c>
      <c r="F17" s="2">
        <f t="shared" si="1"/>
        <v>1386.2659519296308</v>
      </c>
      <c r="G17" s="2">
        <f t="shared" si="2"/>
        <v>4494.3352190543328</v>
      </c>
      <c r="H17">
        <f>($K$2/1000)*(D18^2 + E18^2)</f>
        <v>5.8330342330389065E-5</v>
      </c>
      <c r="I17">
        <f t="shared" ca="1" si="0"/>
        <v>-37.446117344385137</v>
      </c>
    </row>
    <row r="18" spans="1:9" x14ac:dyDescent="0.3">
      <c r="A18">
        <v>16</v>
      </c>
      <c r="B18">
        <f ca="1">($K$5+($K$6-$K$5)*RAND())/100</f>
        <v>1.323049676707198E-2</v>
      </c>
      <c r="C18">
        <f ca="1">($K$7 + ($K$8-$K$7)*RAND())/100</f>
        <v>1.5881549650200669E-2</v>
      </c>
      <c r="D18">
        <v>5.7039114946480715E-2</v>
      </c>
      <c r="E18">
        <v>5.6812749572108967E-2</v>
      </c>
      <c r="F18" s="2">
        <f t="shared" si="1"/>
        <v>1386.3229910445773</v>
      </c>
      <c r="G18" s="2">
        <f t="shared" si="2"/>
        <v>4494.3920318039045</v>
      </c>
      <c r="H18">
        <f>($K$2/1000)*(D19^2 + E19^2)</f>
        <v>3.5511138660339679E-5</v>
      </c>
      <c r="I18">
        <f t="shared" ca="1" si="0"/>
        <v>-36.25722222543645</v>
      </c>
    </row>
    <row r="19" spans="1:9" x14ac:dyDescent="0.3">
      <c r="A19">
        <v>17</v>
      </c>
      <c r="B19">
        <f ca="1">($K$5+($K$6-$K$5)*RAND())/100</f>
        <v>1.2984070753671209E-2</v>
      </c>
      <c r="C19">
        <f ca="1">($K$7 + ($K$8-$K$7)*RAND())/100</f>
        <v>1.5940292908438836E-2</v>
      </c>
      <c r="D19">
        <v>3.5946226164648723E-2</v>
      </c>
      <c r="E19">
        <v>5.1512628528264791E-2</v>
      </c>
      <c r="F19" s="2">
        <f t="shared" si="1"/>
        <v>1386.358937270742</v>
      </c>
      <c r="G19" s="2">
        <f t="shared" si="2"/>
        <v>4494.4435444324326</v>
      </c>
      <c r="H19">
        <f>($K$2/1000)*(D20^2 + E20^2)</f>
        <v>1.6782472543523489E-5</v>
      </c>
      <c r="I19">
        <f t="shared" ca="1" si="0"/>
        <v>-46.71157540429023</v>
      </c>
    </row>
    <row r="20" spans="1:9" x14ac:dyDescent="0.3">
      <c r="A20">
        <v>18</v>
      </c>
      <c r="B20">
        <f ca="1">($K$5+($K$6-$K$5)*RAND())/100</f>
        <v>1.5269785879808748E-2</v>
      </c>
      <c r="C20">
        <f ca="1">($K$7 + ($K$8-$K$7)*RAND())/100</f>
        <v>1.580900684575972E-2</v>
      </c>
      <c r="D20">
        <v>4.3182394230781254E-2</v>
      </c>
      <c r="E20">
        <v>0</v>
      </c>
      <c r="F20" s="2">
        <f t="shared" si="1"/>
        <v>1386.4021196649728</v>
      </c>
      <c r="G20" s="2">
        <f t="shared" si="2"/>
        <v>4494.4435444324326</v>
      </c>
      <c r="H20">
        <f>($K$2/1000)*(D21^2 + E21^2)</f>
        <v>2.5432677633811866E-5</v>
      </c>
      <c r="I20">
        <f t="shared" ca="1" si="0"/>
        <v>-45.371865583523601</v>
      </c>
    </row>
    <row r="21" spans="1:9" x14ac:dyDescent="0.3">
      <c r="A21">
        <v>19</v>
      </c>
      <c r="B21">
        <f ca="1">($K$5+($K$6-$K$5)*RAND())/100</f>
        <v>1.4974169493537587E-2</v>
      </c>
      <c r="C21">
        <f ca="1">($K$7 + ($K$8-$K$7)*RAND())/100</f>
        <v>1.5816553679477961E-2</v>
      </c>
      <c r="D21">
        <v>5.1121105382732353E-2</v>
      </c>
      <c r="E21">
        <v>1.4576887694947568E-2</v>
      </c>
      <c r="F21" s="2">
        <f t="shared" si="1"/>
        <v>1386.4532407703555</v>
      </c>
      <c r="G21" s="2">
        <f t="shared" si="2"/>
        <v>4494.4581213201272</v>
      </c>
      <c r="H21">
        <f>($K$2/1000)*(D22^2 + E22^2)</f>
        <v>0</v>
      </c>
      <c r="I21">
        <f t="shared" ca="1" si="0"/>
        <v>-36.987317312318005</v>
      </c>
    </row>
    <row r="22" spans="1:9" x14ac:dyDescent="0.3">
      <c r="A22">
        <v>20</v>
      </c>
      <c r="B22">
        <f ca="1">($K$5+($K$6-$K$5)*RAND())/100</f>
        <v>1.3182557656247111E-2</v>
      </c>
      <c r="C22">
        <f ca="1">($K$7 + ($K$8-$K$7)*RAND())/100</f>
        <v>1.6056194252306425E-2</v>
      </c>
      <c r="D22">
        <v>0</v>
      </c>
      <c r="E22">
        <v>0</v>
      </c>
      <c r="F22" s="2">
        <f t="shared" si="1"/>
        <v>1386.4532407703555</v>
      </c>
      <c r="G22" s="2">
        <f t="shared" si="2"/>
        <v>4494.4581213201272</v>
      </c>
      <c r="H22">
        <f>($K$2/1000)*(D23^2 + E23^2)</f>
        <v>2.654997594615941E-5</v>
      </c>
      <c r="I22">
        <f t="shared" ca="1" si="0"/>
        <v>-38.143513804625336</v>
      </c>
    </row>
    <row r="23" spans="1:9" x14ac:dyDescent="0.3">
      <c r="A23">
        <v>21</v>
      </c>
      <c r="B23">
        <f ca="1">($K$5+($K$6-$K$5)*RAND())/100</f>
        <v>1.3395130105567287E-2</v>
      </c>
      <c r="C23">
        <f ca="1">($K$7 + ($K$8-$K$7)*RAND())/100</f>
        <v>1.5911824270084907E-2</v>
      </c>
      <c r="D23">
        <v>4.7234290264296886E-3</v>
      </c>
      <c r="E23">
        <v>5.4108100554199158E-2</v>
      </c>
      <c r="F23" s="2">
        <f t="shared" si="1"/>
        <v>1386.4579641993819</v>
      </c>
      <c r="G23" s="2">
        <f t="shared" si="2"/>
        <v>4494.5122294206813</v>
      </c>
      <c r="H23">
        <f>($K$2/1000)*(D24^2 + E24^2)</f>
        <v>1.3214672256729448E-5</v>
      </c>
      <c r="I23">
        <f t="shared" ca="1" si="0"/>
        <v>-42.585440663871864</v>
      </c>
    </row>
    <row r="24" spans="1:9" x14ac:dyDescent="0.3">
      <c r="A24">
        <v>22</v>
      </c>
      <c r="B24">
        <f ca="1">($K$5+($K$6-$K$5)*RAND())/100</f>
        <v>1.4434408827205958E-2</v>
      </c>
      <c r="C24">
        <f ca="1">($K$7 + ($K$8-$K$7)*RAND())/100</f>
        <v>1.6077506816149251E-2</v>
      </c>
      <c r="D24">
        <v>0</v>
      </c>
      <c r="E24">
        <v>3.8318362666147195E-2</v>
      </c>
      <c r="F24" s="2">
        <f t="shared" si="1"/>
        <v>1386.4579641993819</v>
      </c>
      <c r="G24" s="2">
        <f t="shared" si="2"/>
        <v>4494.5505477833476</v>
      </c>
      <c r="H24">
        <f>($K$2/1000)*(D25^2 + E25^2)</f>
        <v>4.793234451577071E-5</v>
      </c>
      <c r="I24">
        <f t="shared" ca="1" si="0"/>
        <v>-46.606890151917895</v>
      </c>
    </row>
    <row r="25" spans="1:9" x14ac:dyDescent="0.3">
      <c r="A25">
        <v>23</v>
      </c>
      <c r="B25">
        <f ca="1">($K$5+($K$6-$K$5)*RAND())/100</f>
        <v>1.5281266156349758E-2</v>
      </c>
      <c r="C25">
        <f ca="1">($K$7 + ($K$8-$K$7)*RAND())/100</f>
        <v>1.5923089576943092E-2</v>
      </c>
      <c r="D25">
        <v>1.6514953395139714E-4</v>
      </c>
      <c r="E25">
        <v>7.2978002048146626E-2</v>
      </c>
      <c r="F25" s="2">
        <f t="shared" si="1"/>
        <v>1386.4581293489159</v>
      </c>
      <c r="G25" s="2">
        <f t="shared" si="2"/>
        <v>4494.6235257853959</v>
      </c>
      <c r="H25">
        <f>($K$2/1000)*(D26^2 + E26^2)</f>
        <v>4.8770103843984229E-5</v>
      </c>
      <c r="I25">
        <f t="shared" ca="1" si="0"/>
        <v>-38.653257370617013</v>
      </c>
    </row>
    <row r="26" spans="1:9" x14ac:dyDescent="0.3">
      <c r="A26">
        <v>24</v>
      </c>
      <c r="B26">
        <f ca="1">($K$5+($K$6-$K$5)*RAND())/100</f>
        <v>1.3465078367344372E-2</v>
      </c>
      <c r="C26">
        <f ca="1">($K$7 + ($K$8-$K$7)*RAND())/100</f>
        <v>1.5771170255250697E-2</v>
      </c>
      <c r="D26">
        <v>7.3613181069081365E-2</v>
      </c>
      <c r="E26">
        <v>0</v>
      </c>
      <c r="F26" s="2">
        <f t="shared" si="1"/>
        <v>1386.531742529985</v>
      </c>
      <c r="G26" s="2">
        <f t="shared" si="2"/>
        <v>4494.6235257853959</v>
      </c>
      <c r="H26">
        <f>($K$2/1000)*(D27^2 + E27^2)</f>
        <v>2.7539956803201113E-5</v>
      </c>
      <c r="I26">
        <f t="shared" ca="1" si="0"/>
        <v>-46.263168743587372</v>
      </c>
    </row>
    <row r="27" spans="1:9" x14ac:dyDescent="0.3">
      <c r="A27">
        <v>25</v>
      </c>
      <c r="B27">
        <f ca="1">($K$5+($K$6-$K$5)*RAND())/100</f>
        <v>1.5196146545363672E-2</v>
      </c>
      <c r="C27">
        <f ca="1">($K$7 + ($K$8-$K$7)*RAND())/100</f>
        <v>1.5893571776032126E-2</v>
      </c>
      <c r="D27">
        <v>5.531722336086365E-2</v>
      </c>
      <c r="E27">
        <v>0</v>
      </c>
      <c r="F27" s="2">
        <f t="shared" si="1"/>
        <v>1386.5870597533458</v>
      </c>
      <c r="G27" s="2">
        <f t="shared" si="2"/>
        <v>4494.6235257853959</v>
      </c>
      <c r="H27">
        <f>($K$2/1000)*(D28^2 + E28^2)</f>
        <v>3.1937420487593125E-5</v>
      </c>
      <c r="I27">
        <f t="shared" ca="1" si="0"/>
        <v>-44.971263624629465</v>
      </c>
    </row>
    <row r="28" spans="1:9" x14ac:dyDescent="0.3">
      <c r="A28">
        <v>26</v>
      </c>
      <c r="B28">
        <f ca="1">($K$5+($K$6-$K$5)*RAND())/100</f>
        <v>1.4955850382296555E-2</v>
      </c>
      <c r="C28">
        <f ca="1">($K$7 + ($K$8-$K$7)*RAND())/100</f>
        <v>1.6046656141004905E-2</v>
      </c>
      <c r="D28">
        <v>2.3979116252801309E-2</v>
      </c>
      <c r="E28">
        <v>5.4530764345769776E-2</v>
      </c>
      <c r="F28" s="2">
        <f t="shared" si="1"/>
        <v>1386.6110388695986</v>
      </c>
      <c r="G28" s="2">
        <f t="shared" si="2"/>
        <v>4494.678056549742</v>
      </c>
      <c r="H28">
        <f>($K$2/1000)*(D29^2 + E29^2)</f>
        <v>1.636342101208595E-6</v>
      </c>
      <c r="I28">
        <f t="shared" ca="1" si="0"/>
        <v>-35.580589298398742</v>
      </c>
    </row>
    <row r="29" spans="1:9" x14ac:dyDescent="0.3">
      <c r="A29">
        <v>27</v>
      </c>
      <c r="B29">
        <f ca="1">($K$5+($K$6-$K$5)*RAND())/100</f>
        <v>1.2842006706255847E-2</v>
      </c>
      <c r="C29">
        <f ca="1">($K$7 + ($K$8-$K$7)*RAND())/100</f>
        <v>1.5966920630513328E-2</v>
      </c>
      <c r="D29">
        <v>1.3483908521759454E-2</v>
      </c>
      <c r="E29">
        <v>0</v>
      </c>
      <c r="F29" s="2">
        <f t="shared" si="1"/>
        <v>1386.6245227781203</v>
      </c>
      <c r="G29" s="2">
        <f t="shared" si="2"/>
        <v>4494.678056549742</v>
      </c>
      <c r="H29">
        <f>($K$2/1000)*(D30^2 + E30^2)</f>
        <v>2.725324762629132E-5</v>
      </c>
      <c r="I29">
        <f t="shared" ca="1" si="0"/>
        <v>-44.266897910999525</v>
      </c>
    </row>
    <row r="30" spans="1:9" x14ac:dyDescent="0.3">
      <c r="A30">
        <v>28</v>
      </c>
      <c r="B30">
        <f ca="1">($K$5+($K$6-$K$5)*RAND())/100</f>
        <v>1.4755351996558317E-2</v>
      </c>
      <c r="C30">
        <f ca="1">($K$7 + ($K$8-$K$7)*RAND())/100</f>
        <v>1.5905138757747388E-2</v>
      </c>
      <c r="D30">
        <v>6.4350749689684955E-3</v>
      </c>
      <c r="E30">
        <v>5.4650969207208348E-2</v>
      </c>
      <c r="F30" s="2">
        <f t="shared" si="1"/>
        <v>1386.6309578530893</v>
      </c>
      <c r="G30" s="2">
        <f t="shared" si="2"/>
        <v>4494.7327075189496</v>
      </c>
      <c r="H30">
        <f>($K$2/1000)*(D31^2 + E31^2)</f>
        <v>9.2471555378319495E-5</v>
      </c>
      <c r="I30">
        <f t="shared" ca="1" si="0"/>
        <v>-38.409872531887267</v>
      </c>
    </row>
    <row r="31" spans="1:9" x14ac:dyDescent="0.3">
      <c r="A31">
        <v>29</v>
      </c>
      <c r="B31">
        <f ca="1">($K$5+($K$6-$K$5)*RAND())/100</f>
        <v>1.3491900712785852E-2</v>
      </c>
      <c r="C31">
        <f ca="1">($K$7 + ($K$8-$K$7)*RAND())/100</f>
        <v>1.6032544015429209E-2</v>
      </c>
      <c r="D31">
        <v>0.10013405348886092</v>
      </c>
      <c r="E31">
        <v>1.5741302237987267E-2</v>
      </c>
      <c r="F31" s="2">
        <f t="shared" si="1"/>
        <v>1386.7310919065781</v>
      </c>
      <c r="G31" s="2">
        <f t="shared" si="2"/>
        <v>4494.7484488211876</v>
      </c>
      <c r="H31">
        <f>($K$2/1000)*(D32^2 + E32^2)</f>
        <v>0</v>
      </c>
      <c r="I31">
        <f t="shared" ca="1" si="0"/>
        <v>-42.103901300269541</v>
      </c>
    </row>
    <row r="32" spans="1:9" x14ac:dyDescent="0.3">
      <c r="A32">
        <v>30</v>
      </c>
      <c r="B32">
        <f ca="1">($K$5+($K$6-$K$5)*RAND())/100</f>
        <v>1.4292455199900406E-2</v>
      </c>
      <c r="C32">
        <f ca="1">($K$7 + ($K$8-$K$7)*RAND())/100</f>
        <v>1.5963507763442915E-2</v>
      </c>
      <c r="D32">
        <v>0</v>
      </c>
      <c r="E32">
        <v>0</v>
      </c>
      <c r="F32" s="2">
        <f t="shared" si="1"/>
        <v>1386.7310919065781</v>
      </c>
      <c r="G32" s="2">
        <f t="shared" si="2"/>
        <v>4494.7484488211876</v>
      </c>
      <c r="H32">
        <f>($K$2/1000)*(D33^2 + E33^2)</f>
        <v>3.0121292035297307E-6</v>
      </c>
      <c r="I32">
        <f t="shared" ca="1" si="0"/>
        <v>-43.284876134360069</v>
      </c>
    </row>
    <row r="33" spans="1:9" x14ac:dyDescent="0.3">
      <c r="A33">
        <v>31</v>
      </c>
      <c r="B33">
        <f ca="1">($K$5+($K$6-$K$5)*RAND())/100</f>
        <v>1.4577982059288303E-2</v>
      </c>
      <c r="C33">
        <f ca="1">($K$7 + ($K$8-$K$7)*RAND())/100</f>
        <v>1.6037164988336711E-2</v>
      </c>
      <c r="D33">
        <v>1.829428934433952E-2</v>
      </c>
      <c r="E33">
        <v>0</v>
      </c>
      <c r="F33" s="2">
        <f t="shared" si="1"/>
        <v>1386.7493861959224</v>
      </c>
      <c r="G33" s="2">
        <f t="shared" si="2"/>
        <v>4494.7484488211876</v>
      </c>
      <c r="H33">
        <f>($K$2/1000)*(D34^2 + E34^2)</f>
        <v>4.2590329531718187E-5</v>
      </c>
      <c r="I33">
        <f t="shared" ca="1" si="0"/>
        <v>-38.517500160559067</v>
      </c>
    </row>
    <row r="34" spans="1:9" x14ac:dyDescent="0.3">
      <c r="A34">
        <v>32</v>
      </c>
      <c r="B34">
        <f ca="1">($K$5+($K$6-$K$5)*RAND())/100</f>
        <v>1.3462547382237948E-2</v>
      </c>
      <c r="C34">
        <f ca="1">($K$7 + ($K$8-$K$7)*RAND())/100</f>
        <v>1.5858807378002594E-2</v>
      </c>
      <c r="D34">
        <v>6.8785186401062404E-2</v>
      </c>
      <c r="E34">
        <v>9.2572600086457001E-4</v>
      </c>
      <c r="F34" s="2">
        <f t="shared" si="1"/>
        <v>1386.8181713823235</v>
      </c>
      <c r="G34" s="2">
        <f t="shared" si="2"/>
        <v>4494.7493745471884</v>
      </c>
      <c r="H34">
        <f>($K$2/1000)*(D35^2 + E35^2)</f>
        <v>5.9826992157579231E-6</v>
      </c>
      <c r="I34">
        <f t="shared" ca="1" si="0"/>
        <v>-41.466899721134979</v>
      </c>
    </row>
    <row r="35" spans="1:9" x14ac:dyDescent="0.3">
      <c r="A35">
        <v>33</v>
      </c>
      <c r="B35">
        <f ca="1">($K$5+($K$6-$K$5)*RAND())/100</f>
        <v>1.409430631395764E-2</v>
      </c>
      <c r="C35">
        <f ca="1">($K$7 + ($K$8-$K$7)*RAND())/100</f>
        <v>1.577957481797447E-2</v>
      </c>
      <c r="D35">
        <v>2.0852838266788336E-2</v>
      </c>
      <c r="E35">
        <v>1.5162568830036815E-2</v>
      </c>
      <c r="F35" s="2">
        <f t="shared" si="1"/>
        <v>1386.8390242205903</v>
      </c>
      <c r="G35" s="2">
        <f t="shared" si="2"/>
        <v>4494.7645371160188</v>
      </c>
      <c r="H35">
        <f>($K$2/1000)*(D36^2 + E36^2)</f>
        <v>4.1669083293260361E-5</v>
      </c>
      <c r="I35">
        <f t="shared" ca="1" si="0"/>
        <v>-40.241343163110137</v>
      </c>
    </row>
    <row r="36" spans="1:9" x14ac:dyDescent="0.3">
      <c r="A36">
        <v>34</v>
      </c>
      <c r="B36">
        <f ca="1">($K$5+($K$6-$K$5)*RAND())/100</f>
        <v>1.3806090818469278E-2</v>
      </c>
      <c r="C36">
        <f ca="1">($K$7 + ($K$8-$K$7)*RAND())/100</f>
        <v>1.5729478968818777E-2</v>
      </c>
      <c r="D36">
        <v>2.6785944837896657E-2</v>
      </c>
      <c r="E36">
        <v>6.2549271001641205E-2</v>
      </c>
      <c r="F36" s="2">
        <f t="shared" si="1"/>
        <v>1386.8658101654282</v>
      </c>
      <c r="G36" s="2">
        <f t="shared" si="2"/>
        <v>4494.8270863870202</v>
      </c>
      <c r="H36">
        <f>($K$2/1000)*(D37^2 + E37^2)</f>
        <v>2.8788706197114447E-5</v>
      </c>
      <c r="I36">
        <f t="shared" ca="1" si="0"/>
        <v>-38.281233062292785</v>
      </c>
    </row>
    <row r="37" spans="1:9" x14ac:dyDescent="0.3">
      <c r="A37">
        <v>35</v>
      </c>
      <c r="B37">
        <f ca="1">($K$5+($K$6-$K$5)*RAND())/100</f>
        <v>1.3393868074648293E-2</v>
      </c>
      <c r="C37">
        <f ca="1">($K$7 + ($K$8-$K$7)*RAND())/100</f>
        <v>1.5807336683180781E-2</v>
      </c>
      <c r="D37">
        <v>0</v>
      </c>
      <c r="E37">
        <v>5.6557449845380373E-2</v>
      </c>
      <c r="F37" s="2">
        <f t="shared" si="1"/>
        <v>1386.8658101654282</v>
      </c>
      <c r="G37" s="2">
        <f t="shared" si="2"/>
        <v>4494.8836438368653</v>
      </c>
      <c r="H37">
        <f>($K$2/1000)*(D38^2 + E38^2)</f>
        <v>9.3215246127371011E-6</v>
      </c>
      <c r="I37">
        <f t="shared" ca="1" si="0"/>
        <v>-46.321321539316187</v>
      </c>
    </row>
    <row r="38" spans="1:9" x14ac:dyDescent="0.3">
      <c r="A38">
        <v>36</v>
      </c>
      <c r="B38">
        <f ca="1">($K$5+($K$6-$K$5)*RAND())/100</f>
        <v>1.5200635098751213E-2</v>
      </c>
      <c r="C38">
        <f ca="1">($K$7 + ($K$8-$K$7)*RAND())/100</f>
        <v>1.5865559637511299E-2</v>
      </c>
      <c r="D38">
        <v>3.1398056769622387E-2</v>
      </c>
      <c r="E38">
        <v>7.0630721405319655E-3</v>
      </c>
      <c r="F38" s="2">
        <f t="shared" si="1"/>
        <v>1386.8972082221978</v>
      </c>
      <c r="G38" s="2">
        <f t="shared" si="2"/>
        <v>4494.8907069090055</v>
      </c>
      <c r="H38">
        <f>($K$2/1000)*(D39^2 + E39^2)</f>
        <v>2.8462971713572243E-5</v>
      </c>
      <c r="I38">
        <f t="shared" ca="1" si="0"/>
        <v>-36.312590304271218</v>
      </c>
    </row>
    <row r="39" spans="1:9" x14ac:dyDescent="0.3">
      <c r="A39">
        <v>37</v>
      </c>
      <c r="B39">
        <f ca="1">($K$5+($K$6-$K$5)*RAND())/100</f>
        <v>1.2970158560498267E-2</v>
      </c>
      <c r="C39">
        <f ca="1">($K$7 + ($K$8-$K$7)*RAND())/100</f>
        <v>1.5852635181500051E-2</v>
      </c>
      <c r="D39">
        <v>5.6236575399104261E-2</v>
      </c>
      <c r="E39">
        <v>0</v>
      </c>
      <c r="F39" s="2">
        <f t="shared" si="1"/>
        <v>1386.9534447975968</v>
      </c>
      <c r="G39" s="2">
        <f t="shared" si="2"/>
        <v>4494.8907069090055</v>
      </c>
      <c r="H39">
        <f>($K$2/1000)*(D40^2 + E40^2)</f>
        <v>1.2097652348763688E-5</v>
      </c>
      <c r="I39">
        <f t="shared" ca="1" si="0"/>
        <v>-44.459724177985649</v>
      </c>
    </row>
    <row r="40" spans="1:9" x14ac:dyDescent="0.3">
      <c r="A40">
        <v>38</v>
      </c>
      <c r="B40">
        <f ca="1">($K$5+($K$6-$K$5)*RAND())/100</f>
        <v>1.4770266139347779E-2</v>
      </c>
      <c r="C40">
        <f ca="1">($K$7 + ($K$8-$K$7)*RAND())/100</f>
        <v>1.5812162067564705E-2</v>
      </c>
      <c r="D40">
        <v>3.2794274178770184E-2</v>
      </c>
      <c r="E40">
        <v>1.6392656142148642E-2</v>
      </c>
      <c r="F40" s="2">
        <f t="shared" si="1"/>
        <v>1386.9862390717756</v>
      </c>
      <c r="G40" s="2">
        <f t="shared" si="2"/>
        <v>4494.9070995651473</v>
      </c>
      <c r="H40">
        <f>($K$2/1000)*(D41^2 + E41^2)</f>
        <v>1.2434495727005535E-6</v>
      </c>
      <c r="I40">
        <f t="shared" ca="1" si="0"/>
        <v>-37.29474857202618</v>
      </c>
    </row>
    <row r="41" spans="1:9" x14ac:dyDescent="0.3">
      <c r="A41">
        <v>39</v>
      </c>
      <c r="B41">
        <f ca="1">($K$5+($K$6-$K$5)*RAND())/100</f>
        <v>1.3207529207010705E-2</v>
      </c>
      <c r="C41">
        <f ca="1">($K$7 + ($K$8-$K$7)*RAND())/100</f>
        <v>1.5913496806356116E-2</v>
      </c>
      <c r="D41">
        <v>1.0067303564069327E-2</v>
      </c>
      <c r="E41">
        <v>6.06716264676264E-3</v>
      </c>
      <c r="F41" s="2">
        <f t="shared" si="1"/>
        <v>1386.9963063753396</v>
      </c>
      <c r="G41" s="2">
        <f t="shared" si="2"/>
        <v>4494.9131667277943</v>
      </c>
      <c r="H41">
        <f>($K$2/1000)*(D42^2 + E42^2)</f>
        <v>1.2931423556792848E-5</v>
      </c>
      <c r="I41">
        <f t="shared" ca="1" si="0"/>
        <v>-47.642288208321141</v>
      </c>
    </row>
    <row r="42" spans="1:9" x14ac:dyDescent="0.3">
      <c r="A42">
        <v>40</v>
      </c>
      <c r="B42">
        <f ca="1">($K$5+($K$6-$K$5)*RAND())/100</f>
        <v>1.5469133063994715E-2</v>
      </c>
      <c r="C42">
        <f ca="1">($K$7 + ($K$8-$K$7)*RAND())/100</f>
        <v>1.5782239476446774E-2</v>
      </c>
      <c r="D42">
        <v>3.2834455181066417E-2</v>
      </c>
      <c r="E42">
        <v>1.8939994524977844E-2</v>
      </c>
      <c r="F42" s="2">
        <f t="shared" si="1"/>
        <v>1387.0291408305206</v>
      </c>
      <c r="G42" s="2">
        <f t="shared" si="2"/>
        <v>4494.9321067223191</v>
      </c>
      <c r="H42">
        <f>($K$2/1000)*(D43^2 + E43^2)</f>
        <v>1.1397208984069624E-5</v>
      </c>
      <c r="I42">
        <f t="shared" ca="1" si="0"/>
        <v>-42.026906136789961</v>
      </c>
    </row>
    <row r="43" spans="1:9" x14ac:dyDescent="0.3">
      <c r="A43">
        <v>41</v>
      </c>
      <c r="B43">
        <f ca="1">($K$5+($K$6-$K$5)*RAND())/100</f>
        <v>1.4306188707885175E-2</v>
      </c>
      <c r="C43">
        <f ca="1">($K$7 + ($K$8-$K$7)*RAND())/100</f>
        <v>1.6062354027736099E-2</v>
      </c>
      <c r="D43">
        <v>9.742358467735321E-4</v>
      </c>
      <c r="E43">
        <v>3.5572565528794453E-2</v>
      </c>
      <c r="F43" s="2">
        <f t="shared" si="1"/>
        <v>1387.0301150663674</v>
      </c>
      <c r="G43" s="2">
        <f t="shared" si="2"/>
        <v>4494.9676792878481</v>
      </c>
      <c r="H43">
        <f>($K$2/1000)*(D44^2 + E44^2)</f>
        <v>1.9036380853720735E-5</v>
      </c>
      <c r="I43">
        <f t="shared" ca="1" si="0"/>
        <v>-42.409626296704495</v>
      </c>
    </row>
    <row r="44" spans="1:9" x14ac:dyDescent="0.3">
      <c r="A44">
        <v>42</v>
      </c>
      <c r="B44">
        <f ca="1">($K$5+($K$6-$K$5)*RAND())/100</f>
        <v>1.4367699461086299E-2</v>
      </c>
      <c r="C44">
        <f ca="1">($K$7 + ($K$8-$K$7)*RAND())/100</f>
        <v>1.598623446747946E-2</v>
      </c>
      <c r="D44">
        <v>0</v>
      </c>
      <c r="E44">
        <v>4.5990797211955273E-2</v>
      </c>
      <c r="F44" s="2">
        <f t="shared" si="1"/>
        <v>1387.0301150663674</v>
      </c>
      <c r="G44" s="2">
        <f t="shared" si="2"/>
        <v>4495.0136700850599</v>
      </c>
      <c r="H44">
        <f>($K$2/1000)*(D45^2 + E45^2)</f>
        <v>9.4443537985973794E-6</v>
      </c>
      <c r="I44">
        <f t="shared" ca="1" si="0"/>
        <v>-41.327554877827275</v>
      </c>
    </row>
    <row r="45" spans="1:9" x14ac:dyDescent="0.3">
      <c r="A45">
        <v>43</v>
      </c>
      <c r="B45">
        <f ca="1">($K$5+($K$6-$K$5)*RAND())/100</f>
        <v>1.4045364956204469E-2</v>
      </c>
      <c r="C45">
        <f ca="1">($K$7 + ($K$8-$K$7)*RAND())/100</f>
        <v>1.5721394991738497E-2</v>
      </c>
      <c r="D45">
        <v>3.2394021736866785E-2</v>
      </c>
      <c r="E45">
        <v>0</v>
      </c>
      <c r="F45" s="2">
        <f t="shared" si="1"/>
        <v>1387.0625090881042</v>
      </c>
      <c r="G45" s="2">
        <f t="shared" si="2"/>
        <v>4495.0136700850599</v>
      </c>
      <c r="H45">
        <f>($K$2/1000)*(D46^2 + E46^2)</f>
        <v>4.9819604961222927E-6</v>
      </c>
      <c r="I45">
        <f t="shared" ca="1" si="0"/>
        <v>-46.351917080978069</v>
      </c>
    </row>
    <row r="46" spans="1:9" x14ac:dyDescent="0.3">
      <c r="A46">
        <v>44</v>
      </c>
      <c r="B46">
        <f ca="1">($K$5+($K$6-$K$5)*RAND())/100</f>
        <v>1.5208141195445184E-2</v>
      </c>
      <c r="C46">
        <f ca="1">($K$7 + ($K$8-$K$7)*RAND())/100</f>
        <v>1.5867464264662245E-2</v>
      </c>
      <c r="D46">
        <v>4.5807929351433562E-3</v>
      </c>
      <c r="E46">
        <v>2.3077424083314653E-2</v>
      </c>
      <c r="F46" s="2">
        <f t="shared" si="1"/>
        <v>1387.0670898810392</v>
      </c>
      <c r="G46" s="2">
        <f t="shared" si="2"/>
        <v>4495.0367475091434</v>
      </c>
      <c r="H46">
        <f>($K$2/1000)*(D47^2 + E47^2)</f>
        <v>1.0275207796398375E-6</v>
      </c>
      <c r="I46">
        <f t="shared" ca="1" si="0"/>
        <v>-34.984732894671708</v>
      </c>
    </row>
    <row r="47" spans="1:9" x14ac:dyDescent="0.3">
      <c r="A47">
        <v>45</v>
      </c>
      <c r="B47">
        <f ca="1">($K$5+($K$6-$K$5)*RAND())/100</f>
        <v>1.2640832076441946E-2</v>
      </c>
      <c r="C47">
        <f ca="1">($K$7 + ($K$8-$K$7)*RAND())/100</f>
        <v>1.5742865214346313E-2</v>
      </c>
      <c r="D47">
        <v>0</v>
      </c>
      <c r="E47">
        <v>1.0684988325475021E-2</v>
      </c>
      <c r="F47" s="2">
        <f t="shared" si="1"/>
        <v>1387.0670898810392</v>
      </c>
      <c r="G47" s="2">
        <f t="shared" si="2"/>
        <v>4495.0474324974693</v>
      </c>
      <c r="H47">
        <f>($K$2/1000)*(D48^2 + E48^2)</f>
        <v>3.3640824765885359E-6</v>
      </c>
      <c r="I47">
        <f t="shared" ca="1" si="0"/>
        <v>-35.244441531424457</v>
      </c>
    </row>
    <row r="48" spans="1:9" x14ac:dyDescent="0.3">
      <c r="A48">
        <v>46</v>
      </c>
      <c r="B48">
        <f ca="1">($K$5+($K$6-$K$5)*RAND())/100</f>
        <v>1.2749524398572789E-2</v>
      </c>
      <c r="C48">
        <f ca="1">($K$7 + ($K$8-$K$7)*RAND())/100</f>
        <v>1.590787811168903E-2</v>
      </c>
      <c r="D48">
        <v>1.2973640912000328E-2</v>
      </c>
      <c r="E48">
        <v>1.433428000736842E-2</v>
      </c>
      <c r="F48" s="2">
        <f t="shared" si="1"/>
        <v>1387.0800635219512</v>
      </c>
      <c r="G48" s="2">
        <f t="shared" si="2"/>
        <v>4495.0617667774768</v>
      </c>
      <c r="H48">
        <f>($K$2/1000)*(D49^2 + E49^2)</f>
        <v>4.24444643805207E-5</v>
      </c>
      <c r="I48">
        <f t="shared" ca="1" si="0"/>
        <v>-40.92347111260554</v>
      </c>
    </row>
    <row r="49" spans="1:9" x14ac:dyDescent="0.3">
      <c r="A49">
        <v>47</v>
      </c>
      <c r="B49">
        <f ca="1">($K$5+($K$6-$K$5)*RAND())/100</f>
        <v>1.3985444828003749E-2</v>
      </c>
      <c r="C49">
        <f ca="1">($K$7 + ($K$8-$K$7)*RAND())/100</f>
        <v>1.5818034965743449E-2</v>
      </c>
      <c r="D49">
        <v>6.8673514529515922E-2</v>
      </c>
      <c r="E49">
        <v>0</v>
      </c>
      <c r="F49" s="2">
        <f t="shared" si="1"/>
        <v>1387.1487370364807</v>
      </c>
      <c r="G49" s="2">
        <f t="shared" si="2"/>
        <v>4495.0617667774768</v>
      </c>
      <c r="H49">
        <f>($K$2/1000)*(D50^2 + E50^2)</f>
        <v>0</v>
      </c>
      <c r="I49">
        <f t="shared" ca="1" si="0"/>
        <v>-40.309407073090384</v>
      </c>
    </row>
    <row r="50" spans="1:9" x14ac:dyDescent="0.3">
      <c r="A50">
        <v>48</v>
      </c>
      <c r="B50">
        <f ca="1">($K$5+($K$6-$K$5)*RAND())/100</f>
        <v>1.3821242466033343E-2</v>
      </c>
      <c r="C50">
        <f ca="1">($K$7 + ($K$8-$K$7)*RAND())/100</f>
        <v>1.5728617215158489E-2</v>
      </c>
      <c r="D50">
        <v>0</v>
      </c>
      <c r="E50">
        <v>0</v>
      </c>
      <c r="F50" s="2">
        <f t="shared" si="1"/>
        <v>1387.1487370364807</v>
      </c>
      <c r="G50" s="2">
        <f t="shared" si="2"/>
        <v>4495.0617667774768</v>
      </c>
      <c r="H50">
        <f>($K$2/1000)*(D51^2 + E51^2)</f>
        <v>0</v>
      </c>
      <c r="I50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C9C0-BF42-4EDB-825E-BDF0A622BED2}">
  <dimension ref="A1:K50"/>
  <sheetViews>
    <sheetView workbookViewId="0">
      <selection activeCell="G2" activeCellId="1" sqref="A2:A50 G2:G50"/>
    </sheetView>
  </sheetViews>
  <sheetFormatPr defaultRowHeight="14.4" x14ac:dyDescent="0.3"/>
  <cols>
    <col min="6" max="7" width="13.664062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0</v>
      </c>
    </row>
    <row r="2" spans="1:11" x14ac:dyDescent="0.3">
      <c r="A2">
        <v>0</v>
      </c>
      <c r="B2">
        <f ca="1">($K$5+($K$6-$K$5)*RAND())/100</f>
        <v>1.437120654615363E-2</v>
      </c>
      <c r="C2">
        <f ca="1">($K$7 + ($K$8-$K$7)*RAND())/100</f>
        <v>1.5976144289943303E-2</v>
      </c>
      <c r="D2">
        <v>2.0487737840210976E-2</v>
      </c>
      <c r="E2">
        <v>2.1013682735045795E-8</v>
      </c>
      <c r="F2" s="1">
        <f>$K$4</f>
        <v>1386</v>
      </c>
      <c r="G2" s="1">
        <f>$K$3</f>
        <v>4494</v>
      </c>
      <c r="H2">
        <f>($K$2/1000)*(D3^2 + E3^2)</f>
        <v>3.5501454242378974E-6</v>
      </c>
      <c r="I2">
        <f ca="1">C3*F3 - B3*G3 - H3</f>
        <v>-41.04304743805465</v>
      </c>
      <c r="J2" t="s">
        <v>1</v>
      </c>
      <c r="K2">
        <v>9</v>
      </c>
    </row>
    <row r="3" spans="1:11" x14ac:dyDescent="0.3">
      <c r="A3">
        <v>1</v>
      </c>
      <c r="B3">
        <f ca="1">($K$5+($K$6-$K$5)*RAND())/100</f>
        <v>1.4009195956047559E-2</v>
      </c>
      <c r="C3">
        <f ca="1">($K$7 + ($K$8-$K$7)*RAND())/100</f>
        <v>1.5811379007192001E-2</v>
      </c>
      <c r="D3">
        <v>1.574336201294004E-11</v>
      </c>
      <c r="E3">
        <v>1.9861032266554016E-2</v>
      </c>
      <c r="F3" s="1">
        <f>F2 + D3</f>
        <v>1386.0000000000157</v>
      </c>
      <c r="G3" s="1">
        <f>G2 + E3</f>
        <v>4494.0198610322668</v>
      </c>
      <c r="H3">
        <f>($K$2/1000)*(D4^2 + E4^2)</f>
        <v>1.3878452373538714E-5</v>
      </c>
      <c r="I3">
        <f t="shared" ref="I3:I50" ca="1" si="0">C4*F4 - B4*G4 - H4</f>
        <v>-35.668183517602095</v>
      </c>
      <c r="J3" t="s">
        <v>2</v>
      </c>
      <c r="K3">
        <v>4494</v>
      </c>
    </row>
    <row r="4" spans="1:11" x14ac:dyDescent="0.3">
      <c r="A4">
        <v>2</v>
      </c>
      <c r="B4">
        <f ca="1">($K$5+($K$6-$K$5)*RAND())/100</f>
        <v>1.288853339966572E-2</v>
      </c>
      <c r="C4">
        <f ca="1">($K$7 + ($K$8-$K$7)*RAND())/100</f>
        <v>1.6056022979725543E-2</v>
      </c>
      <c r="D4">
        <v>2.291566022535481E-11</v>
      </c>
      <c r="E4">
        <v>3.9268947830652705E-2</v>
      </c>
      <c r="F4" s="1">
        <f t="shared" ref="F4:G50" si="1">F3 + D4</f>
        <v>1386.0000000000387</v>
      </c>
      <c r="G4" s="1">
        <f t="shared" si="1"/>
        <v>4494.0591299800972</v>
      </c>
      <c r="H4">
        <f>($K$2/1000)*(D5^2 + E5^2)</f>
        <v>1.7068116691031148E-7</v>
      </c>
      <c r="I4">
        <f t="shared" ca="1" si="0"/>
        <v>-37.453007182793058</v>
      </c>
      <c r="J4" t="s">
        <v>3</v>
      </c>
      <c r="K4">
        <v>1386</v>
      </c>
    </row>
    <row r="5" spans="1:11" x14ac:dyDescent="0.3">
      <c r="A5">
        <v>3</v>
      </c>
      <c r="B5">
        <f ca="1">($K$5+($K$6-$K$5)*RAND())/100</f>
        <v>1.3233297334514114E-2</v>
      </c>
      <c r="C5">
        <f ca="1">($K$7 + ($K$8-$K$7)*RAND())/100</f>
        <v>1.588611118255058E-2</v>
      </c>
      <c r="D5">
        <v>4.3548334183003742E-3</v>
      </c>
      <c r="E5">
        <v>9.5123248452384636E-13</v>
      </c>
      <c r="F5" s="1">
        <f t="shared" si="1"/>
        <v>1386.004354833457</v>
      </c>
      <c r="G5" s="1">
        <f t="shared" si="1"/>
        <v>4494.0591299800981</v>
      </c>
      <c r="H5">
        <f>($K$2/1000)*(D6^2 + E6^2)</f>
        <v>5.7572621932233705E-6</v>
      </c>
      <c r="I5">
        <f t="shared" ca="1" si="0"/>
        <v>-46.718169803796634</v>
      </c>
      <c r="J5" t="s">
        <v>4</v>
      </c>
      <c r="K5">
        <v>1.24</v>
      </c>
    </row>
    <row r="6" spans="1:11" x14ac:dyDescent="0.3">
      <c r="A6">
        <v>4</v>
      </c>
      <c r="B6">
        <f ca="1">($K$5+($K$6-$K$5)*RAND())/100</f>
        <v>1.5349040887353583E-2</v>
      </c>
      <c r="C6">
        <f ca="1">($K$7 + ($K$8-$K$7)*RAND())/100</f>
        <v>1.6061712779111136E-2</v>
      </c>
      <c r="D6">
        <v>7.3671537639530306E-3</v>
      </c>
      <c r="E6">
        <v>2.4195471573526188E-2</v>
      </c>
      <c r="F6" s="1">
        <f t="shared" si="1"/>
        <v>1386.0117219872209</v>
      </c>
      <c r="G6" s="1">
        <f t="shared" si="1"/>
        <v>4494.083325451672</v>
      </c>
      <c r="H6">
        <f>($K$2/1000)*(D7^2 + E7^2)</f>
        <v>2.3277304943065442E-5</v>
      </c>
      <c r="I6">
        <f t="shared" ca="1" si="0"/>
        <v>-38.097645349434593</v>
      </c>
      <c r="J6" t="s">
        <v>5</v>
      </c>
      <c r="K6">
        <v>1.56</v>
      </c>
    </row>
    <row r="7" spans="1:11" x14ac:dyDescent="0.3">
      <c r="A7">
        <v>5</v>
      </c>
      <c r="B7">
        <f ca="1">($K$5+($K$6-$K$5)*RAND())/100</f>
        <v>1.3321260891920482E-2</v>
      </c>
      <c r="C7">
        <f ca="1">($K$7 + ($K$8-$K$7)*RAND())/100</f>
        <v>1.570580643222013E-2</v>
      </c>
      <c r="D7">
        <v>5.0840412337322435E-2</v>
      </c>
      <c r="E7">
        <v>1.2726701329068986E-3</v>
      </c>
      <c r="F7" s="1">
        <f t="shared" si="1"/>
        <v>1386.0625623995581</v>
      </c>
      <c r="G7" s="1">
        <f t="shared" si="1"/>
        <v>4494.0845981218044</v>
      </c>
      <c r="H7">
        <f>($K$2/1000)*(D8^2 + E8^2)</f>
        <v>2.2554869246835766E-6</v>
      </c>
      <c r="I7">
        <f t="shared" ca="1" si="0"/>
        <v>-43.846765190608053</v>
      </c>
      <c r="J7" t="s">
        <v>6</v>
      </c>
      <c r="K7">
        <v>1.57</v>
      </c>
    </row>
    <row r="8" spans="1:11" x14ac:dyDescent="0.3">
      <c r="A8">
        <v>6</v>
      </c>
      <c r="B8">
        <f ca="1">($K$5+($K$6-$K$5)*RAND())/100</f>
        <v>1.4622411777811531E-2</v>
      </c>
      <c r="C8">
        <f ca="1">($K$7 + ($K$8-$K$7)*RAND())/100</f>
        <v>1.5776938125607497E-2</v>
      </c>
      <c r="D8">
        <v>1.4428452998464497E-11</v>
      </c>
      <c r="E8">
        <v>1.5830655649661993E-2</v>
      </c>
      <c r="F8" s="1">
        <f t="shared" si="1"/>
        <v>1386.0625623995725</v>
      </c>
      <c r="G8" s="1">
        <f t="shared" si="1"/>
        <v>4494.100428777454</v>
      </c>
      <c r="H8">
        <f>($K$2/1000)*(D9^2 + E9^2)</f>
        <v>1.4353837970460958E-6</v>
      </c>
      <c r="I8">
        <f t="shared" ca="1" si="0"/>
        <v>-35.765400730180019</v>
      </c>
      <c r="J8" t="s">
        <v>7</v>
      </c>
      <c r="K8">
        <v>1.61</v>
      </c>
    </row>
    <row r="9" spans="1:11" x14ac:dyDescent="0.3">
      <c r="A9">
        <v>7</v>
      </c>
      <c r="B9">
        <f ca="1">($K$5+($K$6-$K$5)*RAND())/100</f>
        <v>1.2836092844291522E-2</v>
      </c>
      <c r="C9">
        <f ca="1">($K$7 + ($K$8-$K$7)*RAND())/100</f>
        <v>1.5815629042075587E-2</v>
      </c>
      <c r="D9">
        <v>2.3657534518491496E-4</v>
      </c>
      <c r="E9">
        <v>1.2626603686927374E-2</v>
      </c>
      <c r="F9" s="1">
        <f t="shared" si="1"/>
        <v>1386.0627989749178</v>
      </c>
      <c r="G9" s="1">
        <f t="shared" si="1"/>
        <v>4494.1130553811408</v>
      </c>
      <c r="H9">
        <f>($K$2/1000)*(D10^2 + E10^2)</f>
        <v>3.356173330273447E-6</v>
      </c>
      <c r="I9">
        <f t="shared" ca="1" si="0"/>
        <v>-47.57905151977414</v>
      </c>
    </row>
    <row r="10" spans="1:11" x14ac:dyDescent="0.3">
      <c r="A10">
        <v>8</v>
      </c>
      <c r="B10">
        <f ca="1">($K$5+($K$6-$K$5)*RAND())/100</f>
        <v>1.5523592145685921E-2</v>
      </c>
      <c r="C10">
        <f ca="1">($K$7 + ($K$8-$K$7)*RAND())/100</f>
        <v>1.600634439807681E-2</v>
      </c>
      <c r="D10">
        <v>1.0957299415096008E-2</v>
      </c>
      <c r="E10">
        <v>1.5901123775887586E-2</v>
      </c>
      <c r="F10" s="1">
        <f t="shared" si="1"/>
        <v>1386.0737562743329</v>
      </c>
      <c r="G10" s="1">
        <f t="shared" si="1"/>
        <v>4494.1289565049165</v>
      </c>
      <c r="H10">
        <f>($K$2/1000)*(D11^2 + E11^2)</f>
        <v>4.5293769522388302E-7</v>
      </c>
      <c r="I10">
        <f t="shared" ca="1" si="0"/>
        <v>-36.749101851478436</v>
      </c>
      <c r="K10" t="s">
        <v>17</v>
      </c>
    </row>
    <row r="11" spans="1:11" x14ac:dyDescent="0.3">
      <c r="A11">
        <v>9</v>
      </c>
      <c r="B11">
        <f ca="1">($K$5+($K$6-$K$5)*RAND())/100</f>
        <v>1.3031687732614759E-2</v>
      </c>
      <c r="C11">
        <f ca="1">($K$7 + ($K$8-$K$7)*RAND())/100</f>
        <v>1.5740062105899694E-2</v>
      </c>
      <c r="D11">
        <v>7.0941109788414808E-3</v>
      </c>
      <c r="E11">
        <v>1.7669595766359761E-8</v>
      </c>
      <c r="F11" s="1">
        <f t="shared" si="1"/>
        <v>1386.0808503853118</v>
      </c>
      <c r="G11" s="1">
        <f t="shared" si="1"/>
        <v>4494.1289565225861</v>
      </c>
      <c r="H11">
        <f>($K$2/1000)*(D12^2 + E12^2)</f>
        <v>1.5328837353580334E-5</v>
      </c>
      <c r="I11">
        <f t="shared" ca="1" si="0"/>
        <v>-45.297322961760571</v>
      </c>
      <c r="K11">
        <f ca="1">SUM(I3:I50)</f>
        <v>-1904.5806200632458</v>
      </c>
    </row>
    <row r="12" spans="1:11" x14ac:dyDescent="0.3">
      <c r="A12">
        <v>10</v>
      </c>
      <c r="B12">
        <f ca="1">($K$5+($K$6-$K$5)*RAND())/100</f>
        <v>1.4953006668655401E-2</v>
      </c>
      <c r="C12">
        <f ca="1">($K$7 + ($K$8-$K$7)*RAND())/100</f>
        <v>1.5801942379990466E-2</v>
      </c>
      <c r="D12">
        <v>4.126989399541741E-2</v>
      </c>
      <c r="E12">
        <v>6.9462196764410164E-8</v>
      </c>
      <c r="F12" s="1">
        <f t="shared" si="1"/>
        <v>1386.1221202793072</v>
      </c>
      <c r="G12" s="1">
        <f t="shared" si="1"/>
        <v>4494.1289565920479</v>
      </c>
      <c r="H12">
        <f>($K$2/1000)*(D13^2 + E13^2)</f>
        <v>4.5803261608680648E-6</v>
      </c>
      <c r="I12">
        <f t="shared" ca="1" si="0"/>
        <v>-35.730648283246268</v>
      </c>
    </row>
    <row r="13" spans="1:11" x14ac:dyDescent="0.3">
      <c r="A13">
        <v>11</v>
      </c>
      <c r="B13">
        <f ca="1">($K$5+($K$6-$K$5)*RAND())/100</f>
        <v>1.2886847875392911E-2</v>
      </c>
      <c r="C13">
        <f ca="1">($K$7 + ($K$8-$K$7)*RAND())/100</f>
        <v>1.6004485341702613E-2</v>
      </c>
      <c r="D13">
        <v>2.2503467606596526E-2</v>
      </c>
      <c r="E13">
        <v>1.5871593064974148E-3</v>
      </c>
      <c r="F13" s="1">
        <f t="shared" si="1"/>
        <v>1386.1446237469138</v>
      </c>
      <c r="G13" s="1">
        <f t="shared" si="1"/>
        <v>4494.1305437513547</v>
      </c>
      <c r="H13">
        <f>($K$2/1000)*(D14^2 + E14^2)</f>
        <v>2.946003096001357E-6</v>
      </c>
      <c r="I13">
        <f t="shared" ca="1" si="0"/>
        <v>-40.731279179079003</v>
      </c>
    </row>
    <row r="14" spans="1:11" x14ac:dyDescent="0.3">
      <c r="A14">
        <v>12</v>
      </c>
      <c r="B14">
        <f ca="1">($K$5+($K$6-$K$5)*RAND())/100</f>
        <v>1.4025594871431584E-2</v>
      </c>
      <c r="C14">
        <f ca="1">($K$7 + ($K$8-$K$7)*RAND())/100</f>
        <v>1.6088823426786754E-2</v>
      </c>
      <c r="D14">
        <v>1.6192701746093528E-2</v>
      </c>
      <c r="E14">
        <v>8.0703213997674068E-3</v>
      </c>
      <c r="F14" s="1">
        <f t="shared" si="1"/>
        <v>1386.1608164486599</v>
      </c>
      <c r="G14" s="1">
        <f t="shared" si="1"/>
        <v>4494.1386140727545</v>
      </c>
      <c r="H14">
        <f>($K$2/1000)*(D15^2 + E15^2)</f>
        <v>8.2990105847724449E-6</v>
      </c>
      <c r="I14">
        <f t="shared" ca="1" si="0"/>
        <v>-46.539693476803016</v>
      </c>
    </row>
    <row r="15" spans="1:11" x14ac:dyDescent="0.3">
      <c r="A15">
        <v>13</v>
      </c>
      <c r="B15">
        <f ca="1">($K$5+($K$6-$K$5)*RAND())/100</f>
        <v>1.5317216601540009E-2</v>
      </c>
      <c r="C15">
        <f ca="1">($K$7 + ($K$8-$K$7)*RAND())/100</f>
        <v>1.6086219894149819E-2</v>
      </c>
      <c r="D15">
        <v>1.7943727153660265E-2</v>
      </c>
      <c r="E15">
        <v>2.4497651786078063E-2</v>
      </c>
      <c r="F15" s="1">
        <f t="shared" si="1"/>
        <v>1386.1787601758135</v>
      </c>
      <c r="G15" s="1">
        <f t="shared" si="1"/>
        <v>4494.1631117245406</v>
      </c>
      <c r="H15">
        <f>($K$2/1000)*(D16^2 + E16^2)</f>
        <v>6.5527994533833972E-10</v>
      </c>
      <c r="I15">
        <f t="shared" ca="1" si="0"/>
        <v>-36.148259307805723</v>
      </c>
    </row>
    <row r="16" spans="1:11" x14ac:dyDescent="0.3">
      <c r="A16">
        <v>14</v>
      </c>
      <c r="B16">
        <f ca="1">($K$5+($K$6-$K$5)*RAND())/100</f>
        <v>1.2976205012932222E-2</v>
      </c>
      <c r="C16">
        <f ca="1">($K$7 + ($K$8-$K$7)*RAND())/100</f>
        <v>1.5992827882968991E-2</v>
      </c>
      <c r="D16">
        <v>2.6983121164517865E-4</v>
      </c>
      <c r="E16">
        <v>6.1209387326553471E-9</v>
      </c>
      <c r="F16" s="1">
        <f t="shared" si="1"/>
        <v>1386.1790300070252</v>
      </c>
      <c r="G16" s="1">
        <f t="shared" si="1"/>
        <v>4494.1631117306615</v>
      </c>
      <c r="H16">
        <f>($K$2/1000)*(D17^2 + E17^2)</f>
        <v>5.0314508018225012E-8</v>
      </c>
      <c r="I16">
        <f t="shared" ca="1" si="0"/>
        <v>-44.359061259151552</v>
      </c>
    </row>
    <row r="17" spans="1:9" x14ac:dyDescent="0.3">
      <c r="A17">
        <v>15</v>
      </c>
      <c r="B17">
        <f ca="1">($K$5+($K$6-$K$5)*RAND())/100</f>
        <v>1.474035821978076E-2</v>
      </c>
      <c r="C17">
        <f ca="1">($K$7 + ($K$8-$K$7)*RAND())/100</f>
        <v>1.5789125571337194E-2</v>
      </c>
      <c r="D17">
        <v>1.1675896762296449E-11</v>
      </c>
      <c r="E17">
        <v>2.3644240082764112E-3</v>
      </c>
      <c r="F17" s="1">
        <f t="shared" si="1"/>
        <v>1386.1790300070368</v>
      </c>
      <c r="G17" s="1">
        <f t="shared" si="1"/>
        <v>4494.1654761546697</v>
      </c>
      <c r="H17">
        <f>($K$2/1000)*(D18^2 + E18^2)</f>
        <v>7.0107956395958163E-6</v>
      </c>
      <c r="I17">
        <f t="shared" ca="1" si="0"/>
        <v>-34.689931470050887</v>
      </c>
    </row>
    <row r="18" spans="1:9" x14ac:dyDescent="0.3">
      <c r="A18">
        <v>16</v>
      </c>
      <c r="B18">
        <f ca="1">($K$5+($K$6-$K$5)*RAND())/100</f>
        <v>1.2622680917824531E-2</v>
      </c>
      <c r="C18">
        <f ca="1">($K$7 + ($K$8-$K$7)*RAND())/100</f>
        <v>1.5898418428016665E-2</v>
      </c>
      <c r="D18">
        <v>2.7893827005105686E-2</v>
      </c>
      <c r="E18">
        <v>9.5483417285975223E-4</v>
      </c>
      <c r="F18" s="1">
        <f t="shared" si="1"/>
        <v>1386.2069238340418</v>
      </c>
      <c r="G18" s="1">
        <f t="shared" si="1"/>
        <v>4494.1664309888429</v>
      </c>
      <c r="H18">
        <f>($K$2/1000)*(D19^2 + E19^2)</f>
        <v>3.2300786793076112E-7</v>
      </c>
      <c r="I18">
        <f t="shared" ca="1" si="0"/>
        <v>-42.414487411854331</v>
      </c>
    </row>
    <row r="19" spans="1:9" x14ac:dyDescent="0.3">
      <c r="A19">
        <v>17</v>
      </c>
      <c r="B19">
        <f ca="1">($K$5+($K$6-$K$5)*RAND())/100</f>
        <v>1.4393798946870045E-2</v>
      </c>
      <c r="C19">
        <f ca="1">($K$7 + ($K$8-$K$7)*RAND())/100</f>
        <v>1.6068031225619676E-2</v>
      </c>
      <c r="D19">
        <v>4.8053554283967632E-3</v>
      </c>
      <c r="E19">
        <v>3.5774742920384019E-3</v>
      </c>
      <c r="F19" s="1">
        <f t="shared" si="1"/>
        <v>1386.2117291894701</v>
      </c>
      <c r="G19" s="1">
        <f t="shared" si="1"/>
        <v>4494.1700084631348</v>
      </c>
      <c r="H19">
        <f>($K$2/1000)*(D20^2 + E20^2)</f>
        <v>1.2269193715339932E-6</v>
      </c>
      <c r="I19">
        <f t="shared" ca="1" si="0"/>
        <v>-42.881286559309615</v>
      </c>
    </row>
    <row r="20" spans="1:9" x14ac:dyDescent="0.3">
      <c r="A20">
        <v>18</v>
      </c>
      <c r="B20">
        <f ca="1">($K$5+($K$6-$K$5)*RAND())/100</f>
        <v>1.4488233364184836E-2</v>
      </c>
      <c r="C20">
        <f ca="1">($K$7 + ($K$8-$K$7)*RAND())/100</f>
        <v>1.6037535317905346E-2</v>
      </c>
      <c r="D20">
        <v>2.9691131140982051E-3</v>
      </c>
      <c r="E20">
        <v>1.1291976883193579E-2</v>
      </c>
      <c r="F20" s="1">
        <f t="shared" si="1"/>
        <v>1386.2146983025843</v>
      </c>
      <c r="G20" s="1">
        <f t="shared" si="1"/>
        <v>4494.1813004400183</v>
      </c>
      <c r="H20">
        <f>($K$2/1000)*(D21^2 + E21^2)</f>
        <v>6.2798061554871405E-6</v>
      </c>
      <c r="I20">
        <f t="shared" ca="1" si="0"/>
        <v>-43.524216316193758</v>
      </c>
    </row>
    <row r="21" spans="1:9" x14ac:dyDescent="0.3">
      <c r="A21">
        <v>19</v>
      </c>
      <c r="B21">
        <f ca="1">($K$5+($K$6-$K$5)*RAND())/100</f>
        <v>1.4609994818032332E-2</v>
      </c>
      <c r="C21">
        <f ca="1">($K$7 + ($K$8-$K$7)*RAND())/100</f>
        <v>1.5968181134681382E-2</v>
      </c>
      <c r="D21">
        <v>2.6415075988879991E-2</v>
      </c>
      <c r="E21">
        <v>1.6339783968170441E-8</v>
      </c>
      <c r="F21" s="1">
        <f t="shared" si="1"/>
        <v>1386.2411133785731</v>
      </c>
      <c r="G21" s="1">
        <f t="shared" si="1"/>
        <v>4494.1813004563583</v>
      </c>
      <c r="H21">
        <f>($K$2/1000)*(D22^2 + E22^2)</f>
        <v>1.1996226712313967E-17</v>
      </c>
      <c r="I21">
        <f t="shared" ca="1" si="0"/>
        <v>-47.542534154671735</v>
      </c>
    </row>
    <row r="22" spans="1:9" x14ac:dyDescent="0.3">
      <c r="A22">
        <v>20</v>
      </c>
      <c r="B22">
        <f ca="1">($K$5+($K$6-$K$5)*RAND())/100</f>
        <v>1.5447719216882608E-2</v>
      </c>
      <c r="C22">
        <f ca="1">($K$7 + ($K$8-$K$7)*RAND())/100</f>
        <v>1.5785363974754184E-2</v>
      </c>
      <c r="D22">
        <v>2.997685120293209E-9</v>
      </c>
      <c r="E22">
        <v>3.6385820906852837E-8</v>
      </c>
      <c r="F22" s="1">
        <f t="shared" si="1"/>
        <v>1386.2411133815708</v>
      </c>
      <c r="G22" s="1">
        <f t="shared" si="1"/>
        <v>4494.1813004927444</v>
      </c>
      <c r="H22">
        <f>($K$2/1000)*(D23^2 + E23^2)</f>
        <v>3.8463920723054606E-6</v>
      </c>
      <c r="I22">
        <f t="shared" ca="1" si="0"/>
        <v>-45.032181716111893</v>
      </c>
    </row>
    <row r="23" spans="1:9" x14ac:dyDescent="0.3">
      <c r="A23">
        <v>21</v>
      </c>
      <c r="B23">
        <f ca="1">($K$5+($K$6-$K$5)*RAND())/100</f>
        <v>1.4972506365063592E-2</v>
      </c>
      <c r="C23">
        <f ca="1">($K$7 + ($K$8-$K$7)*RAND())/100</f>
        <v>1.6055859328357892E-2</v>
      </c>
      <c r="D23">
        <v>5.3434730309860796E-4</v>
      </c>
      <c r="E23">
        <v>2.0666189050778092E-2</v>
      </c>
      <c r="F23" s="1">
        <f t="shared" si="1"/>
        <v>1386.2416477288739</v>
      </c>
      <c r="G23" s="1">
        <f t="shared" si="1"/>
        <v>4494.2019666817951</v>
      </c>
      <c r="H23">
        <f>($K$2/1000)*(D24^2 + E24^2)</f>
        <v>1.5055133263600974E-5</v>
      </c>
      <c r="I23">
        <f t="shared" ca="1" si="0"/>
        <v>-44.176243521030003</v>
      </c>
    </row>
    <row r="24" spans="1:9" x14ac:dyDescent="0.3">
      <c r="A24">
        <v>22</v>
      </c>
      <c r="B24">
        <f ca="1">($K$5+($K$6-$K$5)*RAND())/100</f>
        <v>1.4705145543157029E-2</v>
      </c>
      <c r="C24">
        <f ca="1">($K$7 + ($K$8-$K$7)*RAND())/100</f>
        <v>1.5806826027677228E-2</v>
      </c>
      <c r="D24">
        <v>1.005016817445104E-2</v>
      </c>
      <c r="E24">
        <v>3.9645765278397693E-2</v>
      </c>
      <c r="F24" s="1">
        <f t="shared" si="1"/>
        <v>1386.2516978970484</v>
      </c>
      <c r="G24" s="1">
        <f t="shared" si="1"/>
        <v>4494.2416124470737</v>
      </c>
      <c r="H24">
        <f>($K$2/1000)*(D25^2 + E25^2)</f>
        <v>5.9231138748310022E-6</v>
      </c>
      <c r="I24">
        <f t="shared" ca="1" si="0"/>
        <v>-44.883910585359963</v>
      </c>
    </row>
    <row r="25" spans="1:9" x14ac:dyDescent="0.3">
      <c r="A25">
        <v>23</v>
      </c>
      <c r="B25">
        <f ca="1">($K$5+($K$6-$K$5)*RAND())/100</f>
        <v>1.4844200967532131E-2</v>
      </c>
      <c r="C25">
        <f ca="1">($K$7 + ($K$8-$K$7)*RAND())/100</f>
        <v>1.574709516003692E-2</v>
      </c>
      <c r="D25">
        <v>2.0123810295537402E-2</v>
      </c>
      <c r="E25">
        <v>1.5910877507520894E-2</v>
      </c>
      <c r="F25" s="1">
        <f t="shared" si="1"/>
        <v>1386.2718217073439</v>
      </c>
      <c r="G25" s="1">
        <f t="shared" si="1"/>
        <v>4494.2575233245816</v>
      </c>
      <c r="H25">
        <f>($K$2/1000)*(D26^2 + E26^2)</f>
        <v>3.0033899295357785E-6</v>
      </c>
      <c r="I25">
        <f t="shared" ca="1" si="0"/>
        <v>-39.427763669849554</v>
      </c>
    </row>
    <row r="26" spans="1:9" x14ac:dyDescent="0.3">
      <c r="A26">
        <v>24</v>
      </c>
      <c r="B26">
        <f ca="1">($K$5+($K$6-$K$5)*RAND())/100</f>
        <v>1.363481279460897E-2</v>
      </c>
      <c r="C26">
        <f ca="1">($K$7 + ($K$8-$K$7)*RAND())/100</f>
        <v>1.5762040394148212E-2</v>
      </c>
      <c r="D26">
        <v>1.5818648304169534E-2</v>
      </c>
      <c r="E26">
        <v>9.1367586155942874E-3</v>
      </c>
      <c r="F26" s="1">
        <f t="shared" si="1"/>
        <v>1386.2876403556481</v>
      </c>
      <c r="G26" s="1">
        <f t="shared" si="1"/>
        <v>4494.2666600831972</v>
      </c>
      <c r="H26">
        <f>($K$2/1000)*(D27^2 + E27^2)</f>
        <v>8.9575678501894951E-7</v>
      </c>
      <c r="I26">
        <f t="shared" ca="1" si="0"/>
        <v>-42.707120660073407</v>
      </c>
    </row>
    <row r="27" spans="1:9" x14ac:dyDescent="0.3">
      <c r="A27">
        <v>25</v>
      </c>
      <c r="B27">
        <f ca="1">($K$5+($K$6-$K$5)*RAND())/100</f>
        <v>1.4370422153723415E-2</v>
      </c>
      <c r="C27">
        <f ca="1">($K$7 + ($K$8-$K$7)*RAND())/100</f>
        <v>1.5781386547104769E-2</v>
      </c>
      <c r="D27">
        <v>2.3359488807512222E-9</v>
      </c>
      <c r="E27">
        <v>9.9763987324468298E-3</v>
      </c>
      <c r="F27" s="1">
        <f t="shared" si="1"/>
        <v>1386.2876403579842</v>
      </c>
      <c r="G27" s="1">
        <f t="shared" si="1"/>
        <v>4494.2766364819299</v>
      </c>
      <c r="H27">
        <f>($K$2/1000)*(D28^2 + E28^2)</f>
        <v>9.2361750239657382E-6</v>
      </c>
      <c r="I27">
        <f t="shared" ca="1" si="0"/>
        <v>-34.523820727322267</v>
      </c>
    </row>
    <row r="28" spans="1:9" x14ac:dyDescent="0.3">
      <c r="A28">
        <v>26</v>
      </c>
      <c r="B28">
        <f ca="1">($K$5+($K$6-$K$5)*RAND())/100</f>
        <v>1.2554331322861595E-2</v>
      </c>
      <c r="C28">
        <f ca="1">($K$7 + ($K$8-$K$7)*RAND())/100</f>
        <v>1.5796579715324201E-2</v>
      </c>
      <c r="D28">
        <v>2.715773002479507E-2</v>
      </c>
      <c r="E28">
        <v>1.6991155617846327E-2</v>
      </c>
      <c r="F28" s="1">
        <f t="shared" si="1"/>
        <v>1386.314798088009</v>
      </c>
      <c r="G28" s="1">
        <f t="shared" si="1"/>
        <v>4494.2936276375476</v>
      </c>
      <c r="H28">
        <f>($K$2/1000)*(D29^2 + E29^2)</f>
        <v>1.6822657397914844E-6</v>
      </c>
      <c r="I28">
        <f t="shared" ca="1" si="0"/>
        <v>-42.977057034516612</v>
      </c>
    </row>
    <row r="29" spans="1:9" x14ac:dyDescent="0.3">
      <c r="A29">
        <v>27</v>
      </c>
      <c r="B29">
        <f ca="1">($K$5+($K$6-$K$5)*RAND())/100</f>
        <v>1.4518806358553618E-2</v>
      </c>
      <c r="C29">
        <f ca="1">($K$7 + ($K$8-$K$7)*RAND())/100</f>
        <v>1.6067486332922858E-2</v>
      </c>
      <c r="D29">
        <v>1.2681853288133869E-2</v>
      </c>
      <c r="E29">
        <v>5.1077404701722418E-3</v>
      </c>
      <c r="F29" s="1">
        <f t="shared" si="1"/>
        <v>1386.327479941297</v>
      </c>
      <c r="G29" s="1">
        <f t="shared" si="1"/>
        <v>4494.2987353780181</v>
      </c>
      <c r="H29">
        <f>($K$2/1000)*(D30^2 + E30^2)</f>
        <v>1.8149829342209082E-6</v>
      </c>
      <c r="I29">
        <f t="shared" ca="1" si="0"/>
        <v>-45.705914669654106</v>
      </c>
    </row>
    <row r="30" spans="1:9" x14ac:dyDescent="0.3">
      <c r="A30">
        <v>28</v>
      </c>
      <c r="B30">
        <f ca="1">($K$5+($K$6-$K$5)*RAND())/100</f>
        <v>1.5121624588767268E-2</v>
      </c>
      <c r="C30">
        <f ca="1">($K$7 + ($K$8-$K$7)*RAND())/100</f>
        <v>1.605328457066426E-2</v>
      </c>
      <c r="D30">
        <v>1.2099139974829077E-2</v>
      </c>
      <c r="E30">
        <v>7.434755028814524E-3</v>
      </c>
      <c r="F30" s="1">
        <f t="shared" si="1"/>
        <v>1386.3395790812719</v>
      </c>
      <c r="G30" s="1">
        <f t="shared" si="1"/>
        <v>4494.3061701330471</v>
      </c>
      <c r="H30">
        <f>($K$2/1000)*(D31^2 + E31^2)</f>
        <v>7.7524883429562944E-6</v>
      </c>
      <c r="I30">
        <f t="shared" ca="1" si="0"/>
        <v>-37.546168008742903</v>
      </c>
    </row>
    <row r="31" spans="1:9" x14ac:dyDescent="0.3">
      <c r="A31">
        <v>29</v>
      </c>
      <c r="B31">
        <f ca="1">($K$5+($K$6-$K$5)*RAND())/100</f>
        <v>1.3261392248161061E-2</v>
      </c>
      <c r="C31">
        <f ca="1">($K$7 + ($K$8-$K$7)*RAND())/100</f>
        <v>1.5908241300812077E-2</v>
      </c>
      <c r="D31">
        <v>2.8556821203864127E-2</v>
      </c>
      <c r="E31">
        <v>6.7746259226872992E-3</v>
      </c>
      <c r="F31" s="1">
        <f t="shared" si="1"/>
        <v>1386.3681359024758</v>
      </c>
      <c r="G31" s="1">
        <f t="shared" si="1"/>
        <v>4494.3129447589699</v>
      </c>
      <c r="H31">
        <f>($K$2/1000)*(D32^2 + E32^2)</f>
        <v>4.0976599771707868E-17</v>
      </c>
      <c r="I31">
        <f t="shared" ca="1" si="0"/>
        <v>-35.102346847877911</v>
      </c>
    </row>
    <row r="32" spans="1:9" x14ac:dyDescent="0.3">
      <c r="A32">
        <v>30</v>
      </c>
      <c r="B32">
        <f ca="1">($K$5+($K$6-$K$5)*RAND())/100</f>
        <v>1.2769014414118445E-2</v>
      </c>
      <c r="C32">
        <f ca="1">($K$7 + ($K$8-$K$7)*RAND())/100</f>
        <v>1.6074813529556298E-2</v>
      </c>
      <c r="D32">
        <v>7.9380111763669502E-12</v>
      </c>
      <c r="E32">
        <v>6.7475591640071908E-8</v>
      </c>
      <c r="F32" s="1">
        <f t="shared" si="1"/>
        <v>1386.3681359024838</v>
      </c>
      <c r="G32" s="1">
        <f t="shared" si="1"/>
        <v>4494.3129448264453</v>
      </c>
      <c r="H32">
        <f>($K$2/1000)*(D33^2 + E33^2)</f>
        <v>9.3417809112545867E-6</v>
      </c>
      <c r="I32">
        <f t="shared" ca="1" si="0"/>
        <v>-34.330921493600691</v>
      </c>
    </row>
    <row r="33" spans="1:9" x14ac:dyDescent="0.3">
      <c r="A33">
        <v>31</v>
      </c>
      <c r="B33">
        <f ca="1">($K$5+($K$6-$K$5)*RAND())/100</f>
        <v>1.2586215353790025E-2</v>
      </c>
      <c r="C33">
        <f ca="1">($K$7 + ($K$8-$K$7)*RAND())/100</f>
        <v>1.603846072968039E-2</v>
      </c>
      <c r="D33">
        <v>2.8252113588515183E-2</v>
      </c>
      <c r="E33">
        <v>1.5485274766296563E-2</v>
      </c>
      <c r="F33" s="1">
        <f t="shared" si="1"/>
        <v>1386.3963880160723</v>
      </c>
      <c r="G33" s="1">
        <f t="shared" si="1"/>
        <v>4494.3284301012118</v>
      </c>
      <c r="H33">
        <f>($K$2/1000)*(D34^2 + E34^2)</f>
        <v>2.6652319385980333E-8</v>
      </c>
      <c r="I33">
        <f t="shared" ca="1" si="0"/>
        <v>-35.730256787495406</v>
      </c>
    </row>
    <row r="34" spans="1:9" x14ac:dyDescent="0.3">
      <c r="A34">
        <v>32</v>
      </c>
      <c r="B34">
        <f ca="1">($K$5+($K$6-$K$5)*RAND())/100</f>
        <v>1.2840494092921069E-2</v>
      </c>
      <c r="C34">
        <f ca="1">($K$7 + ($K$8-$K$7)*RAND())/100</f>
        <v>1.5853448402196969E-2</v>
      </c>
      <c r="D34">
        <v>7.481482027663398E-8</v>
      </c>
      <c r="E34">
        <v>1.7208628112279098E-3</v>
      </c>
      <c r="F34" s="1">
        <f t="shared" si="1"/>
        <v>1386.3963880908871</v>
      </c>
      <c r="G34" s="1">
        <f t="shared" si="1"/>
        <v>4494.3301509640232</v>
      </c>
      <c r="H34">
        <f>($K$2/1000)*(D35^2 + E35^2)</f>
        <v>6.3599593264639751E-7</v>
      </c>
      <c r="I34">
        <f t="shared" ca="1" si="0"/>
        <v>-37.101395558647255</v>
      </c>
    </row>
    <row r="35" spans="1:9" x14ac:dyDescent="0.3">
      <c r="A35">
        <v>33</v>
      </c>
      <c r="B35">
        <f ca="1">($K$5+($K$6-$K$5)*RAND())/100</f>
        <v>1.3160030204384523E-2</v>
      </c>
      <c r="C35">
        <f ca="1">($K$7 + ($K$8-$K$7)*RAND())/100</f>
        <v>1.5900244536552623E-2</v>
      </c>
      <c r="D35">
        <v>8.0309146672158035E-3</v>
      </c>
      <c r="E35">
        <v>2.484074142691136E-3</v>
      </c>
      <c r="F35" s="1">
        <f t="shared" si="1"/>
        <v>1386.4044190055542</v>
      </c>
      <c r="G35" s="1">
        <f t="shared" si="1"/>
        <v>4494.3326350381658</v>
      </c>
      <c r="H35">
        <f>($K$2/1000)*(D36^2 + E36^2)</f>
        <v>1.1621739389997699E-5</v>
      </c>
      <c r="I35">
        <f t="shared" ca="1" si="0"/>
        <v>-37.215290228385093</v>
      </c>
    </row>
    <row r="36" spans="1:9" x14ac:dyDescent="0.3">
      <c r="A36">
        <v>34</v>
      </c>
      <c r="B36">
        <f ca="1">($K$5+($K$6-$K$5)*RAND())/100</f>
        <v>1.3231892156393522E-2</v>
      </c>
      <c r="C36">
        <f ca="1">($K$7 + ($K$8-$K$7)*RAND())/100</f>
        <v>1.6050922941072614E-2</v>
      </c>
      <c r="D36">
        <v>2.8510272761372347E-2</v>
      </c>
      <c r="E36">
        <v>2.1873927944897346E-2</v>
      </c>
      <c r="F36" s="1">
        <f t="shared" si="1"/>
        <v>1386.4329292783157</v>
      </c>
      <c r="G36" s="1">
        <f t="shared" si="1"/>
        <v>4494.3545089661111</v>
      </c>
      <c r="H36">
        <f>($K$2/1000)*(D37^2 + E37^2)</f>
        <v>4.1639563654930192E-6</v>
      </c>
      <c r="I36">
        <f t="shared" ca="1" si="0"/>
        <v>-46.561692767639137</v>
      </c>
    </row>
    <row r="37" spans="1:9" x14ac:dyDescent="0.3">
      <c r="A37">
        <v>35</v>
      </c>
      <c r="B37">
        <f ca="1">($K$5+($K$6-$K$5)*RAND())/100</f>
        <v>1.5252197120659207E-2</v>
      </c>
      <c r="C37">
        <f ca="1">($K$7 + ($K$8-$K$7)*RAND())/100</f>
        <v>1.5858647117192478E-2</v>
      </c>
      <c r="D37">
        <v>1.8921327567533203E-2</v>
      </c>
      <c r="E37">
        <v>1.0229622743299058E-2</v>
      </c>
      <c r="F37" s="1">
        <f t="shared" si="1"/>
        <v>1386.4518506058832</v>
      </c>
      <c r="G37" s="1">
        <f t="shared" si="1"/>
        <v>4494.3647385888544</v>
      </c>
      <c r="H37">
        <f>($K$2/1000)*(D38^2 + E38^2)</f>
        <v>6.4862791087725365E-6</v>
      </c>
      <c r="I37">
        <f t="shared" ca="1" si="0"/>
        <v>-36.815643517644702</v>
      </c>
    </row>
    <row r="38" spans="1:9" x14ac:dyDescent="0.3">
      <c r="A38">
        <v>36</v>
      </c>
      <c r="B38">
        <f ca="1">($K$5+($K$6-$K$5)*RAND())/100</f>
        <v>1.3157047428682473E-2</v>
      </c>
      <c r="C38">
        <f ca="1">($K$7 + ($K$8-$K$7)*RAND())/100</f>
        <v>1.6096354665248242E-2</v>
      </c>
      <c r="D38">
        <v>2.0731814109241339E-2</v>
      </c>
      <c r="E38">
        <v>1.705548482138124E-2</v>
      </c>
      <c r="F38" s="1">
        <f t="shared" si="1"/>
        <v>1386.4725824199925</v>
      </c>
      <c r="G38" s="1">
        <f t="shared" si="1"/>
        <v>4494.3817940736753</v>
      </c>
      <c r="H38">
        <f>($K$2/1000)*(D39^2 + E39^2)</f>
        <v>3.5106851531074135E-6</v>
      </c>
      <c r="I38">
        <f t="shared" ca="1" si="0"/>
        <v>-43.819610467717276</v>
      </c>
    </row>
    <row r="39" spans="1:9" x14ac:dyDescent="0.3">
      <c r="A39">
        <v>37</v>
      </c>
      <c r="B39">
        <f ca="1">($K$5+($K$6-$K$5)*RAND())/100</f>
        <v>1.4659908423673651E-2</v>
      </c>
      <c r="C39">
        <f ca="1">($K$7 + ($K$8-$K$7)*RAND())/100</f>
        <v>1.5916588166000452E-2</v>
      </c>
      <c r="D39">
        <v>3.1275604110147954E-8</v>
      </c>
      <c r="E39">
        <v>1.9750345012735038E-2</v>
      </c>
      <c r="F39" s="1">
        <f t="shared" si="1"/>
        <v>1386.4725824512682</v>
      </c>
      <c r="G39" s="1">
        <f t="shared" si="1"/>
        <v>4494.401544418688</v>
      </c>
      <c r="H39">
        <f>($K$2/1000)*(D40^2 + E40^2)</f>
        <v>8.5056498310758285E-6</v>
      </c>
      <c r="I39">
        <f t="shared" ca="1" si="0"/>
        <v>-42.682141831289577</v>
      </c>
    </row>
    <row r="40" spans="1:9" x14ac:dyDescent="0.3">
      <c r="A40">
        <v>38</v>
      </c>
      <c r="B40">
        <f ca="1">($K$5+($K$6-$K$5)*RAND())/100</f>
        <v>1.4406258891059408E-2</v>
      </c>
      <c r="C40">
        <f ca="1">($K$7 + ($K$8-$K$7)*RAND())/100</f>
        <v>1.5914407735320327E-2</v>
      </c>
      <c r="D40">
        <v>3.0736774029384611E-2</v>
      </c>
      <c r="E40">
        <v>5.6826553601070889E-4</v>
      </c>
      <c r="F40" s="1">
        <f t="shared" si="1"/>
        <v>1386.5033192252977</v>
      </c>
      <c r="G40" s="1">
        <f t="shared" si="1"/>
        <v>4494.4021126842244</v>
      </c>
      <c r="H40">
        <f>($K$2/1000)*(D41^2 + E41^2)</f>
        <v>5.8396266793812185E-7</v>
      </c>
      <c r="I40">
        <f t="shared" ca="1" si="0"/>
        <v>-40.434568632341893</v>
      </c>
    </row>
    <row r="41" spans="1:9" x14ac:dyDescent="0.3">
      <c r="A41">
        <v>39</v>
      </c>
      <c r="B41">
        <f ca="1">($K$5+($K$6-$K$5)*RAND())/100</f>
        <v>1.3846335848156225E-2</v>
      </c>
      <c r="C41">
        <f ca="1">($K$7 + ($K$8-$K$7)*RAND())/100</f>
        <v>1.5720523233454395E-2</v>
      </c>
      <c r="D41">
        <v>1.9016249760706167E-11</v>
      </c>
      <c r="E41">
        <v>8.0551065096628946E-3</v>
      </c>
      <c r="F41" s="1">
        <f t="shared" si="1"/>
        <v>1386.5033192253168</v>
      </c>
      <c r="G41" s="1">
        <f t="shared" si="1"/>
        <v>4494.4101677907338</v>
      </c>
      <c r="H41">
        <f>($K$2/1000)*(D42^2 + E42^2)</f>
        <v>1.3652886453059434E-5</v>
      </c>
      <c r="I41">
        <f t="shared" ca="1" si="0"/>
        <v>-34.032277249708009</v>
      </c>
    </row>
    <row r="42" spans="1:9" x14ac:dyDescent="0.3">
      <c r="A42">
        <v>40</v>
      </c>
      <c r="B42">
        <f ca="1">($K$5+($K$6-$K$5)*RAND())/100</f>
        <v>1.2456202462776294E-2</v>
      </c>
      <c r="C42">
        <f ca="1">($K$7 + ($K$8-$K$7)*RAND())/100</f>
        <v>1.583204804209086E-2</v>
      </c>
      <c r="D42">
        <v>1.6944915337443061E-2</v>
      </c>
      <c r="E42">
        <v>3.506932032247214E-2</v>
      </c>
      <c r="F42" s="1">
        <f t="shared" si="1"/>
        <v>1386.5202641406543</v>
      </c>
      <c r="G42" s="1">
        <f t="shared" si="1"/>
        <v>4494.4452371110565</v>
      </c>
      <c r="H42">
        <f>($K$2/1000)*(D43^2 + E43^2)</f>
        <v>1.2851599430927395E-5</v>
      </c>
      <c r="I42">
        <f t="shared" ca="1" si="0"/>
        <v>-38.087745121724097</v>
      </c>
    </row>
    <row r="43" spans="1:9" x14ac:dyDescent="0.3">
      <c r="A43">
        <v>41</v>
      </c>
      <c r="B43">
        <f ca="1">($K$5+($K$6-$K$5)*RAND())/100</f>
        <v>1.3375879940681063E-2</v>
      </c>
      <c r="C43">
        <f ca="1">($K$7 + ($K$8-$K$7)*RAND())/100</f>
        <v>1.5888374763136631E-2</v>
      </c>
      <c r="D43">
        <v>1.8932596661326191E-2</v>
      </c>
      <c r="E43">
        <v>3.2703398538757505E-2</v>
      </c>
      <c r="F43" s="1">
        <f t="shared" si="1"/>
        <v>1386.5391967373155</v>
      </c>
      <c r="G43" s="1">
        <f t="shared" si="1"/>
        <v>4494.4779405095951</v>
      </c>
      <c r="H43">
        <f>($K$2/1000)*(D44^2 + E44^2)</f>
        <v>2.1749691695266129E-6</v>
      </c>
      <c r="I43">
        <f t="shared" ca="1" si="0"/>
        <v>-47.602485315528192</v>
      </c>
    </row>
    <row r="44" spans="1:9" x14ac:dyDescent="0.3">
      <c r="A44">
        <v>42</v>
      </c>
      <c r="B44">
        <f ca="1">($K$5+($K$6-$K$5)*RAND())/100</f>
        <v>1.5527052346670569E-2</v>
      </c>
      <c r="C44">
        <f ca="1">($K$7 + ($K$8-$K$7)*RAND())/100</f>
        <v>1.5999124552089926E-2</v>
      </c>
      <c r="D44">
        <v>1.3845150594365819E-2</v>
      </c>
      <c r="E44">
        <v>7.0693030828961048E-3</v>
      </c>
      <c r="F44" s="1">
        <f t="shared" si="1"/>
        <v>1386.5530418879098</v>
      </c>
      <c r="G44" s="1">
        <f t="shared" si="1"/>
        <v>4494.4850098126781</v>
      </c>
      <c r="H44">
        <f>($K$2/1000)*(D45^2 + E45^2)</f>
        <v>1.6112084383455255E-5</v>
      </c>
      <c r="I44">
        <f t="shared" ca="1" si="0"/>
        <v>-39.022787308388942</v>
      </c>
    </row>
    <row r="45" spans="1:9" x14ac:dyDescent="0.3">
      <c r="A45">
        <v>43</v>
      </c>
      <c r="B45">
        <f ca="1">($K$5+($K$6-$K$5)*RAND())/100</f>
        <v>1.3625403401489123E-2</v>
      </c>
      <c r="C45">
        <f ca="1">($K$7 + ($K$8-$K$7)*RAND())/100</f>
        <v>1.6022875688986801E-2</v>
      </c>
      <c r="D45">
        <v>2.0511589806546379E-2</v>
      </c>
      <c r="E45">
        <v>3.7006841013111046E-2</v>
      </c>
      <c r="F45" s="1">
        <f t="shared" si="1"/>
        <v>1386.5735534777164</v>
      </c>
      <c r="G45" s="1">
        <f t="shared" si="1"/>
        <v>4494.522016653691</v>
      </c>
      <c r="H45">
        <f>($K$2/1000)*(D46^2 + E46^2)</f>
        <v>7.4156181274652472E-6</v>
      </c>
      <c r="I45">
        <f t="shared" ca="1" si="0"/>
        <v>-34.590868709333094</v>
      </c>
    </row>
    <row r="46" spans="1:9" x14ac:dyDescent="0.3">
      <c r="A46">
        <v>44</v>
      </c>
      <c r="B46">
        <f ca="1">($K$5+($K$6-$K$5)*RAND())/100</f>
        <v>1.2544707586744102E-2</v>
      </c>
      <c r="C46">
        <f ca="1">($K$7 + ($K$8-$K$7)*RAND())/100</f>
        <v>1.5716374352947503E-2</v>
      </c>
      <c r="D46">
        <v>2.8739967408236791E-3</v>
      </c>
      <c r="E46">
        <v>2.8560422133646689E-2</v>
      </c>
      <c r="F46" s="1">
        <f t="shared" si="1"/>
        <v>1386.5764274744572</v>
      </c>
      <c r="G46" s="1">
        <f t="shared" si="1"/>
        <v>4494.5505770758245</v>
      </c>
      <c r="H46">
        <f>($K$2/1000)*(D47^2 + E47^2)</f>
        <v>1.8924605324198673E-7</v>
      </c>
      <c r="I46">
        <f t="shared" ca="1" si="0"/>
        <v>-38.362423131781213</v>
      </c>
    </row>
    <row r="47" spans="1:9" x14ac:dyDescent="0.3">
      <c r="A47">
        <v>45</v>
      </c>
      <c r="B47">
        <f ca="1">($K$5+($K$6-$K$5)*RAND())/100</f>
        <v>1.3449370144572283E-2</v>
      </c>
      <c r="C47">
        <f ca="1">($K$7 + ($K$8-$K$7)*RAND())/100</f>
        <v>1.5928740957125397E-2</v>
      </c>
      <c r="D47">
        <v>4.1009120647663849E-3</v>
      </c>
      <c r="E47">
        <v>2.0517942114557063E-3</v>
      </c>
      <c r="F47" s="1">
        <f t="shared" si="1"/>
        <v>1386.580528386522</v>
      </c>
      <c r="G47" s="1">
        <f t="shared" si="1"/>
        <v>4494.5526288700357</v>
      </c>
      <c r="H47">
        <f>($K$2/1000)*(D48^2 + E48^2)</f>
        <v>3.2447106528726626E-6</v>
      </c>
      <c r="I47">
        <f t="shared" ca="1" si="0"/>
        <v>-33.927865165634259</v>
      </c>
    </row>
    <row r="48" spans="1:9" x14ac:dyDescent="0.3">
      <c r="A48">
        <v>46</v>
      </c>
      <c r="B48">
        <f ca="1">($K$5+($K$6-$K$5)*RAND())/100</f>
        <v>1.2471214360958899E-2</v>
      </c>
      <c r="C48">
        <f ca="1">($K$7 + ($K$8-$K$7)*RAND())/100</f>
        <v>1.5956062806757199E-2</v>
      </c>
      <c r="D48">
        <v>1.8985988574824367E-2</v>
      </c>
      <c r="E48">
        <v>2.3588919301001444E-4</v>
      </c>
      <c r="F48" s="1">
        <f t="shared" si="1"/>
        <v>1386.5995143750968</v>
      </c>
      <c r="G48" s="1">
        <f t="shared" si="1"/>
        <v>4494.5528647592291</v>
      </c>
      <c r="H48">
        <f>($K$2/1000)*(D49^2 + E49^2)</f>
        <v>1.8717480765159491E-6</v>
      </c>
      <c r="I48">
        <f t="shared" ca="1" si="0"/>
        <v>-47.848947178879918</v>
      </c>
    </row>
    <row r="49" spans="1:9" x14ac:dyDescent="0.3">
      <c r="A49">
        <v>47</v>
      </c>
      <c r="B49">
        <f ca="1">($K$5+($K$6-$K$5)*RAND())/100</f>
        <v>1.5533489934245493E-2</v>
      </c>
      <c r="C49">
        <f ca="1">($K$7 + ($K$8-$K$7)*RAND())/100</f>
        <v>1.5842355388112232E-2</v>
      </c>
      <c r="D49">
        <v>1.362120594585148E-2</v>
      </c>
      <c r="E49">
        <v>4.7365342902244917E-3</v>
      </c>
      <c r="F49" s="1">
        <f t="shared" si="1"/>
        <v>1386.6131355810426</v>
      </c>
      <c r="G49" s="1">
        <f t="shared" si="1"/>
        <v>4494.5576012935189</v>
      </c>
      <c r="H49">
        <f>($K$2/1000)*(D50^2 + E50^2)</f>
        <v>0</v>
      </c>
      <c r="I49">
        <f t="shared" ca="1" si="0"/>
        <v>-42.595126631375337</v>
      </c>
    </row>
    <row r="50" spans="1:9" x14ac:dyDescent="0.3">
      <c r="A50">
        <v>48</v>
      </c>
      <c r="B50">
        <f ca="1">($K$5+($K$6-$K$5)*RAND())/100</f>
        <v>1.4356687508597164E-2</v>
      </c>
      <c r="C50">
        <f ca="1">($K$7 + ($K$8-$K$7)*RAND())/100</f>
        <v>1.5816835840514017E-2</v>
      </c>
      <c r="D50">
        <v>0</v>
      </c>
      <c r="E50">
        <v>0</v>
      </c>
      <c r="F50" s="1">
        <f t="shared" si="1"/>
        <v>1386.6131355810426</v>
      </c>
      <c r="G50" s="1">
        <f t="shared" si="1"/>
        <v>4494.5576012935189</v>
      </c>
      <c r="H50">
        <f>($K$2/1000)*(D51^2 + E51^2)</f>
        <v>0</v>
      </c>
      <c r="I50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1AFC-6683-4D40-AA03-256CE5129ECC}">
  <dimension ref="A1:K50"/>
  <sheetViews>
    <sheetView topLeftCell="A4" workbookViewId="0">
      <selection activeCell="F2" sqref="F2:G50"/>
    </sheetView>
  </sheetViews>
  <sheetFormatPr defaultRowHeight="14.4" x14ac:dyDescent="0.3"/>
  <cols>
    <col min="6" max="7" width="16.664062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0</v>
      </c>
    </row>
    <row r="2" spans="1:11" x14ac:dyDescent="0.3">
      <c r="A2">
        <v>0</v>
      </c>
      <c r="B2">
        <f ca="1">($K$5+($K$6-$K$5)*RAND())/100</f>
        <v>1.4461470115044291E-2</v>
      </c>
      <c r="C2">
        <f ca="1">($K$7 + ($K$8-$K$7)*RAND())/100</f>
        <v>1.5963888312548483E-2</v>
      </c>
      <c r="D2">
        <v>1.8017484007726218E-7</v>
      </c>
      <c r="E2">
        <v>1.1697554883152604E-7</v>
      </c>
      <c r="F2" s="3">
        <f>$K$4</f>
        <v>1386</v>
      </c>
      <c r="G2" s="3">
        <f>$K$3</f>
        <v>4494</v>
      </c>
      <c r="H2">
        <f>($K$2/1000)*(D3^2 + E3^2)</f>
        <v>1.0791909970290496E-15</v>
      </c>
      <c r="I2">
        <f ca="1">C3*F3 - B3*G3 - H3</f>
        <v>-41.304131179807143</v>
      </c>
      <c r="J2" t="s">
        <v>1</v>
      </c>
      <c r="K2">
        <v>9</v>
      </c>
    </row>
    <row r="3" spans="1:11" x14ac:dyDescent="0.3">
      <c r="A3">
        <v>1</v>
      </c>
      <c r="B3">
        <f ca="1">($K$5+($K$6-$K$5)*RAND())/100</f>
        <v>1.411121580003822E-2</v>
      </c>
      <c r="C3">
        <f ca="1">($K$7 + ($K$8-$K$7)*RAND())/100</f>
        <v>1.5953587752049674E-2</v>
      </c>
      <c r="D3">
        <v>3.4623354234703547E-7</v>
      </c>
      <c r="E3">
        <v>5.6960455431041441E-9</v>
      </c>
      <c r="F3" s="3">
        <f>F2 + D2</f>
        <v>1386.0000001801748</v>
      </c>
      <c r="G3" s="3">
        <f>G2 + E2</f>
        <v>4494.0000001169756</v>
      </c>
      <c r="H3">
        <f>($K$2/1000)*(D4^2 + E4^2)</f>
        <v>1.8415669032742767E-15</v>
      </c>
      <c r="I3">
        <f t="shared" ref="I3:I50" ca="1" si="0">C4*F4 - B4*G4 - H4</f>
        <v>-40.995062424298617</v>
      </c>
      <c r="J3" t="s">
        <v>2</v>
      </c>
      <c r="K3">
        <v>4494</v>
      </c>
    </row>
    <row r="4" spans="1:11" x14ac:dyDescent="0.3">
      <c r="A4">
        <v>2</v>
      </c>
      <c r="B4">
        <f ca="1">($K$5+($K$6-$K$5)*RAND())/100</f>
        <v>1.4032387696731444E-2</v>
      </c>
      <c r="C4">
        <f ca="1">($K$7 + ($K$8-$K$7)*RAND())/100</f>
        <v>1.5920986925074269E-2</v>
      </c>
      <c r="D4">
        <v>1.8612023348037488E-7</v>
      </c>
      <c r="E4">
        <v>4.1228364446999801E-7</v>
      </c>
      <c r="F4" s="3">
        <f t="shared" ref="F4:F50" si="1">F3 + D3</f>
        <v>1386.0000005264083</v>
      </c>
      <c r="G4" s="3">
        <f t="shared" ref="G4:G50" si="2">G3 + E3</f>
        <v>4494.0000001226717</v>
      </c>
      <c r="H4">
        <f>($K$2/1000)*(D5^2 + E5^2)</f>
        <v>7.810279774840137E-15</v>
      </c>
      <c r="I4">
        <f t="shared" ca="1" si="0"/>
        <v>-36.54882788172872</v>
      </c>
      <c r="J4" t="s">
        <v>3</v>
      </c>
      <c r="K4">
        <v>1386</v>
      </c>
    </row>
    <row r="5" spans="1:11" x14ac:dyDescent="0.3">
      <c r="A5">
        <v>3</v>
      </c>
      <c r="B5">
        <f ca="1">($K$5+($K$6-$K$5)*RAND())/100</f>
        <v>1.2985789526749615E-2</v>
      </c>
      <c r="C5">
        <f ca="1">($K$7 + ($K$8-$K$7)*RAND())/100</f>
        <v>1.5735433078801545E-2</v>
      </c>
      <c r="D5">
        <v>0</v>
      </c>
      <c r="E5">
        <v>9.3156259256752387E-7</v>
      </c>
      <c r="F5" s="3">
        <f t="shared" si="1"/>
        <v>1386.0000007125284</v>
      </c>
      <c r="G5" s="3">
        <f t="shared" si="2"/>
        <v>4494.0000005349557</v>
      </c>
      <c r="H5">
        <f>($K$2/1000)*(D6^2 + E6^2)</f>
        <v>7.987359207377061E-15</v>
      </c>
      <c r="I5">
        <f t="shared" ca="1" si="0"/>
        <v>-47.411010149412256</v>
      </c>
      <c r="J5" t="s">
        <v>4</v>
      </c>
      <c r="K5">
        <v>1.24</v>
      </c>
    </row>
    <row r="6" spans="1:11" x14ac:dyDescent="0.3">
      <c r="A6">
        <v>4</v>
      </c>
      <c r="B6">
        <f ca="1">($K$5+($K$6-$K$5)*RAND())/100</f>
        <v>1.5496444414176826E-2</v>
      </c>
      <c r="C6">
        <f ca="1">($K$7 + ($K$8-$K$7)*RAND())/100</f>
        <v>1.6038969018178934E-2</v>
      </c>
      <c r="D6">
        <v>9.1394791907029952E-7</v>
      </c>
      <c r="E6">
        <v>2.2843720713206578E-7</v>
      </c>
      <c r="F6" s="3">
        <f t="shared" si="1"/>
        <v>1386.0000007125284</v>
      </c>
      <c r="G6" s="3">
        <f t="shared" si="2"/>
        <v>4494.0000014665184</v>
      </c>
      <c r="H6">
        <f>($K$2/1000)*(D7^2 + E7^2)</f>
        <v>9.4229564545061859E-16</v>
      </c>
      <c r="I6">
        <f t="shared" ca="1" si="0"/>
        <v>-35.21702916801619</v>
      </c>
      <c r="J6" t="s">
        <v>5</v>
      </c>
      <c r="K6">
        <v>1.56</v>
      </c>
    </row>
    <row r="7" spans="1:11" x14ac:dyDescent="0.3">
      <c r="A7">
        <v>5</v>
      </c>
      <c r="B7">
        <f ca="1">($K$5+($K$6-$K$5)*RAND())/100</f>
        <v>1.2785799548338146E-2</v>
      </c>
      <c r="C7">
        <f ca="1">($K$7 + ($K$8-$K$7)*RAND())/100</f>
        <v>1.6047874457276567E-2</v>
      </c>
      <c r="D7">
        <v>0</v>
      </c>
      <c r="E7">
        <v>3.2357304609806399E-7</v>
      </c>
      <c r="F7" s="3">
        <f t="shared" si="1"/>
        <v>1386.0000016264762</v>
      </c>
      <c r="G7" s="3">
        <f t="shared" si="2"/>
        <v>4494.0000016949552</v>
      </c>
      <c r="H7">
        <f>($K$2/1000)*(D8^2 + E8^2)</f>
        <v>9.9995543079700619E-15</v>
      </c>
      <c r="I7">
        <f t="shared" ca="1" si="0"/>
        <v>-46.262421299337454</v>
      </c>
      <c r="J7" t="s">
        <v>6</v>
      </c>
      <c r="K7">
        <v>1.57</v>
      </c>
    </row>
    <row r="8" spans="1:11" x14ac:dyDescent="0.3">
      <c r="A8">
        <v>6</v>
      </c>
      <c r="B8">
        <f ca="1">($K$5+($K$6-$K$5)*RAND())/100</f>
        <v>1.5206616252839278E-2</v>
      </c>
      <c r="C8">
        <f ca="1">($K$7 + ($K$8-$K$7)*RAND())/100</f>
        <v>1.5927930841061217E-2</v>
      </c>
      <c r="D8">
        <v>9.5180483104425132E-7</v>
      </c>
      <c r="E8">
        <v>4.5291186049304954E-7</v>
      </c>
      <c r="F8" s="3">
        <f t="shared" si="1"/>
        <v>1386.0000016264762</v>
      </c>
      <c r="G8" s="3">
        <f t="shared" si="2"/>
        <v>4494.000002018528</v>
      </c>
      <c r="H8">
        <f>($K$2/1000)*(D9^2 + E9^2)</f>
        <v>6.5968982811380792E-17</v>
      </c>
      <c r="I8">
        <f t="shared" ca="1" si="0"/>
        <v>-47.078603961596507</v>
      </c>
      <c r="J8" t="s">
        <v>7</v>
      </c>
      <c r="K8">
        <v>1.61</v>
      </c>
    </row>
    <row r="9" spans="1:11" x14ac:dyDescent="0.3">
      <c r="A9">
        <v>7</v>
      </c>
      <c r="B9">
        <f ca="1">($K$5+($K$6-$K$5)*RAND())/100</f>
        <v>1.5355341002820908E-2</v>
      </c>
      <c r="C9">
        <f ca="1">($K$7 + ($K$8-$K$7)*RAND())/100</f>
        <v>1.5821283190648447E-2</v>
      </c>
      <c r="D9">
        <v>8.2532145695292127E-8</v>
      </c>
      <c r="E9">
        <v>2.276690374147051E-8</v>
      </c>
      <c r="F9" s="3">
        <f t="shared" si="1"/>
        <v>1386.0000025782811</v>
      </c>
      <c r="G9" s="3">
        <f t="shared" si="2"/>
        <v>4494.00000247144</v>
      </c>
      <c r="H9">
        <f>($K$2/1000)*(D10^2 + E10^2)</f>
        <v>5.4054488418884704E-15</v>
      </c>
      <c r="I9">
        <f t="shared" ca="1" si="0"/>
        <v>-38.340327568934711</v>
      </c>
    </row>
    <row r="10" spans="1:11" x14ac:dyDescent="0.3">
      <c r="A10">
        <v>8</v>
      </c>
      <c r="B10">
        <f ca="1">($K$5+($K$6-$K$5)*RAND())/100</f>
        <v>1.3480623666947926E-2</v>
      </c>
      <c r="C10">
        <f ca="1">($K$7 + ($K$8-$K$7)*RAND())/100</f>
        <v>1.6047326970601586E-2</v>
      </c>
      <c r="D10">
        <v>4.0664522152788478E-7</v>
      </c>
      <c r="E10">
        <v>6.5973107451827243E-7</v>
      </c>
      <c r="F10" s="3">
        <f t="shared" si="1"/>
        <v>1386.0000026608132</v>
      </c>
      <c r="G10" s="3">
        <f t="shared" si="2"/>
        <v>4494.0000024942065</v>
      </c>
      <c r="H10">
        <f>($K$2/1000)*(D11^2 + E11^2)</f>
        <v>4.2738348787110953E-15</v>
      </c>
      <c r="I10">
        <f t="shared" ca="1" si="0"/>
        <v>-38.134346772259597</v>
      </c>
      <c r="K10" t="s">
        <v>17</v>
      </c>
    </row>
    <row r="11" spans="1:11" x14ac:dyDescent="0.3">
      <c r="A11">
        <v>9</v>
      </c>
      <c r="B11">
        <f ca="1">($K$5+($K$6-$K$5)*RAND())/100</f>
        <v>1.3354275553447346E-2</v>
      </c>
      <c r="C11">
        <f ca="1">($K$7 + ($K$8-$K$7)*RAND())/100</f>
        <v>1.5786268079817905E-2</v>
      </c>
      <c r="D11">
        <v>4.0177886256656206E-7</v>
      </c>
      <c r="E11">
        <v>5.5986095387491553E-7</v>
      </c>
      <c r="F11" s="3">
        <f t="shared" si="1"/>
        <v>1386.0000030674585</v>
      </c>
      <c r="G11" s="3">
        <f t="shared" si="2"/>
        <v>4494.0000031539375</v>
      </c>
      <c r="H11">
        <f>($K$2/1000)*(D12^2 + E12^2)</f>
        <v>5.6522161001204962E-15</v>
      </c>
      <c r="I11">
        <f t="shared" ca="1" si="0"/>
        <v>-43.184822245216871</v>
      </c>
      <c r="K11">
        <f ca="1">SUM(I3:I50)</f>
        <v>-1917.4498430970814</v>
      </c>
    </row>
    <row r="12" spans="1:11" x14ac:dyDescent="0.3">
      <c r="A12">
        <v>10</v>
      </c>
      <c r="B12">
        <f ca="1">($K$5+($K$6-$K$5)*RAND())/100</f>
        <v>1.4457687540146169E-2</v>
      </c>
      <c r="C12">
        <f ca="1">($K$7 + ($K$8-$K$7)*RAND())/100</f>
        <v>1.5720076161151727E-2</v>
      </c>
      <c r="D12">
        <v>1.5809143417984005E-7</v>
      </c>
      <c r="E12">
        <v>7.7655077719583853E-7</v>
      </c>
      <c r="F12" s="3">
        <f t="shared" si="1"/>
        <v>1386.0000034692373</v>
      </c>
      <c r="G12" s="3">
        <f t="shared" si="2"/>
        <v>4494.0000037137988</v>
      </c>
      <c r="H12">
        <f>($K$2/1000)*(D13^2 + E13^2)</f>
        <v>6.283827579155981E-15</v>
      </c>
      <c r="I12">
        <f t="shared" ca="1" si="0"/>
        <v>-34.338913039692947</v>
      </c>
    </row>
    <row r="13" spans="1:11" x14ac:dyDescent="0.3">
      <c r="A13">
        <v>11</v>
      </c>
      <c r="B13">
        <f ca="1">($K$5+($K$6-$K$5)*RAND())/100</f>
        <v>1.2491143169027932E-2</v>
      </c>
      <c r="C13">
        <f ca="1">($K$7 + ($K$8-$K$7)*RAND())/100</f>
        <v>1.572603489247092E-2</v>
      </c>
      <c r="D13">
        <v>4.5209267886540974E-7</v>
      </c>
      <c r="E13">
        <v>7.0271991153443351E-7</v>
      </c>
      <c r="F13" s="3">
        <f t="shared" si="1"/>
        <v>1386.0000036273286</v>
      </c>
      <c r="G13" s="3">
        <f t="shared" si="2"/>
        <v>4494.00000449035</v>
      </c>
      <c r="H13">
        <f>($K$2/1000)*(D14^2 + E14^2)</f>
        <v>3.7746418451480185E-15</v>
      </c>
      <c r="I13">
        <f t="shared" ca="1" si="0"/>
        <v>-37.388124842863078</v>
      </c>
    </row>
    <row r="14" spans="1:11" x14ac:dyDescent="0.3">
      <c r="A14">
        <v>12</v>
      </c>
      <c r="B14">
        <f ca="1">($K$5+($K$6-$K$5)*RAND())/100</f>
        <v>1.3258477340601314E-2</v>
      </c>
      <c r="C14">
        <f ca="1">($K$7 + ($K$8-$K$7)*RAND())/100</f>
        <v>1.6014049299656122E-2</v>
      </c>
      <c r="D14">
        <v>3.4361491694960216E-7</v>
      </c>
      <c r="E14">
        <v>5.4893846495814898E-7</v>
      </c>
      <c r="F14" s="3">
        <f t="shared" si="1"/>
        <v>1386.0000040794214</v>
      </c>
      <c r="G14" s="3">
        <f t="shared" si="2"/>
        <v>4494.0000051930701</v>
      </c>
      <c r="H14">
        <f>($K$2/1000)*(D15^2 + E15^2)</f>
        <v>9.2003151954440187E-15</v>
      </c>
      <c r="I14">
        <f t="shared" ca="1" si="0"/>
        <v>-47.470630445000452</v>
      </c>
    </row>
    <row r="15" spans="1:11" x14ac:dyDescent="0.3">
      <c r="A15">
        <v>13</v>
      </c>
      <c r="B15">
        <f ca="1">($K$5+($K$6-$K$5)*RAND())/100</f>
        <v>1.5423523432335145E-2</v>
      </c>
      <c r="C15">
        <f ca="1">($K$7 + ($K$8-$K$7)*RAND())/100</f>
        <v>1.5759512178045314E-2</v>
      </c>
      <c r="D15">
        <v>1.4918861866182789E-7</v>
      </c>
      <c r="E15">
        <v>9.9999999999999995E-7</v>
      </c>
      <c r="F15" s="3">
        <f t="shared" si="1"/>
        <v>1386.0000044230362</v>
      </c>
      <c r="G15" s="3">
        <f t="shared" si="2"/>
        <v>4494.0000057420084</v>
      </c>
      <c r="H15">
        <f>($K$2/1000)*(D16^2 + E16^2)</f>
        <v>8.6040348086734833E-16</v>
      </c>
      <c r="I15">
        <f t="shared" ca="1" si="0"/>
        <v>-36.69721276974326</v>
      </c>
    </row>
    <row r="16" spans="1:11" x14ac:dyDescent="0.3">
      <c r="A16">
        <v>14</v>
      </c>
      <c r="B16">
        <f ca="1">($K$5+($K$6-$K$5)*RAND())/100</f>
        <v>1.3029109582713692E-2</v>
      </c>
      <c r="C16">
        <f ca="1">($K$7 + ($K$8-$K$7)*RAND())/100</f>
        <v>1.5768835289116725E-2</v>
      </c>
      <c r="D16">
        <v>9.712753416147022E-8</v>
      </c>
      <c r="E16">
        <v>2.9354152835800107E-7</v>
      </c>
      <c r="F16" s="3">
        <f t="shared" si="1"/>
        <v>1386.0000045722247</v>
      </c>
      <c r="G16" s="3">
        <f t="shared" si="2"/>
        <v>4494.0000067420087</v>
      </c>
      <c r="H16">
        <f>($K$2/1000)*(D17^2 + E17^2)</f>
        <v>2.6676241021344823E-15</v>
      </c>
      <c r="I16">
        <f t="shared" ca="1" si="0"/>
        <v>-37.317914739861742</v>
      </c>
    </row>
    <row r="17" spans="1:9" x14ac:dyDescent="0.3">
      <c r="A17">
        <v>15</v>
      </c>
      <c r="B17">
        <f ca="1">($K$5+($K$6-$K$5)*RAND())/100</f>
        <v>1.3171805712929615E-2</v>
      </c>
      <c r="C17">
        <f ca="1">($K$7 + ($K$8-$K$7)*RAND())/100</f>
        <v>1.5783679764080297E-2</v>
      </c>
      <c r="D17">
        <v>5.1260521400788147E-7</v>
      </c>
      <c r="E17">
        <v>1.8340821297552779E-7</v>
      </c>
      <c r="F17" s="3">
        <f t="shared" si="1"/>
        <v>1386.0000046693522</v>
      </c>
      <c r="G17" s="3">
        <f t="shared" si="2"/>
        <v>4494.00000703555</v>
      </c>
      <c r="H17">
        <f>($K$2/1000)*(D18^2 + E18^2)</f>
        <v>6.8698138232182089E-15</v>
      </c>
      <c r="I17">
        <f t="shared" ca="1" si="0"/>
        <v>-35.600205413522652</v>
      </c>
    </row>
    <row r="18" spans="1:9" x14ac:dyDescent="0.3">
      <c r="A18">
        <v>16</v>
      </c>
      <c r="B18">
        <f ca="1">($K$5+($K$6-$K$5)*RAND())/100</f>
        <v>1.283631218418722E-2</v>
      </c>
      <c r="C18">
        <f ca="1">($K$7 + ($K$8-$K$7)*RAND())/100</f>
        <v>1.5935195925183269E-2</v>
      </c>
      <c r="D18">
        <v>6.9404213151093111E-7</v>
      </c>
      <c r="E18">
        <v>5.3067708327382007E-7</v>
      </c>
      <c r="F18" s="3">
        <f t="shared" si="1"/>
        <v>1386.0000051819575</v>
      </c>
      <c r="G18" s="3">
        <f t="shared" si="2"/>
        <v>4494.0000072189578</v>
      </c>
      <c r="H18">
        <f>($K$2/1000)*(D19^2 + E19^2)</f>
        <v>9.0319733796120683E-15</v>
      </c>
      <c r="I18">
        <f t="shared" ca="1" si="0"/>
        <v>-41.045509906265053</v>
      </c>
    </row>
    <row r="19" spans="1:9" x14ac:dyDescent="0.3">
      <c r="A19">
        <v>17</v>
      </c>
      <c r="B19">
        <f ca="1">($K$5+($K$6-$K$5)*RAND())/100</f>
        <v>1.4020776170899611E-2</v>
      </c>
      <c r="C19">
        <f ca="1">($K$7 + ($K$8-$K$7)*RAND())/100</f>
        <v>1.5846939553605402E-2</v>
      </c>
      <c r="D19">
        <v>8.4038866883103123E-7</v>
      </c>
      <c r="E19">
        <v>5.4525176114807885E-7</v>
      </c>
      <c r="F19" s="3">
        <f t="shared" si="1"/>
        <v>1386.0000058759997</v>
      </c>
      <c r="G19" s="3">
        <f t="shared" si="2"/>
        <v>4494.0000077496352</v>
      </c>
      <c r="H19">
        <f>($K$2/1000)*(D20^2 + E20^2)</f>
        <v>2.7077620479958891E-15</v>
      </c>
      <c r="I19">
        <f t="shared" ca="1" si="0"/>
        <v>-42.435054125267492</v>
      </c>
    </row>
    <row r="20" spans="1:9" x14ac:dyDescent="0.3">
      <c r="A20">
        <v>18</v>
      </c>
      <c r="B20">
        <f ca="1">($K$5+($K$6-$K$5)*RAND())/100</f>
        <v>1.4289699887375336E-2</v>
      </c>
      <c r="C20">
        <f ca="1">($K$7 + ($K$8-$K$7)*RAND())/100</f>
        <v>1.5716347172851107E-2</v>
      </c>
      <c r="D20">
        <v>5.4850929780389417E-7</v>
      </c>
      <c r="E20">
        <v>0</v>
      </c>
      <c r="F20" s="3">
        <f t="shared" si="1"/>
        <v>1386.0000067163883</v>
      </c>
      <c r="G20" s="3">
        <f t="shared" si="2"/>
        <v>4494.0000082948873</v>
      </c>
      <c r="H20">
        <f>($K$2/1000)*(D21^2 + E21^2)</f>
        <v>9.2366667033489394E-15</v>
      </c>
      <c r="I20">
        <f t="shared" ca="1" si="0"/>
        <v>-44.456662805283287</v>
      </c>
    </row>
    <row r="21" spans="1:9" x14ac:dyDescent="0.3">
      <c r="A21">
        <v>19</v>
      </c>
      <c r="B21">
        <f ca="1">($K$5+($K$6-$K$5)*RAND())/100</f>
        <v>1.4814910618767276E-2</v>
      </c>
      <c r="C21">
        <f ca="1">($K$7 + ($K$8-$K$7)*RAND())/100</f>
        <v>1.5960711055116844E-2</v>
      </c>
      <c r="D21">
        <v>6.3709659043667706E-7</v>
      </c>
      <c r="E21">
        <v>7.8765743494622427E-7</v>
      </c>
      <c r="F21" s="3">
        <f t="shared" si="1"/>
        <v>1386.0000072648975</v>
      </c>
      <c r="G21" s="3">
        <f t="shared" si="2"/>
        <v>4494.0000082948873</v>
      </c>
      <c r="H21">
        <f>($K$2/1000)*(D22^2 + E22^2)</f>
        <v>5.9705274674097122E-15</v>
      </c>
      <c r="I21">
        <f t="shared" ca="1" si="0"/>
        <v>-40.152410809015052</v>
      </c>
    </row>
    <row r="22" spans="1:9" x14ac:dyDescent="0.3">
      <c r="A22">
        <v>20</v>
      </c>
      <c r="B22">
        <f ca="1">($K$5+($K$6-$K$5)*RAND())/100</f>
        <v>1.3776774347950793E-2</v>
      </c>
      <c r="C22">
        <f ca="1">($K$7 + ($K$8-$K$7)*RAND())/100</f>
        <v>1.5700153760275233E-2</v>
      </c>
      <c r="D22">
        <v>5.3564618021404313E-7</v>
      </c>
      <c r="E22">
        <v>6.1357567621720974E-7</v>
      </c>
      <c r="F22" s="3">
        <f t="shared" si="1"/>
        <v>1386.000007901994</v>
      </c>
      <c r="G22" s="3">
        <f t="shared" si="2"/>
        <v>4494.0000090825451</v>
      </c>
      <c r="H22">
        <f>($K$2/1000)*(D23^2 + E23^2)</f>
        <v>3.864475724426794E-15</v>
      </c>
      <c r="I22">
        <f t="shared" ca="1" si="0"/>
        <v>-41.882311162651725</v>
      </c>
    </row>
    <row r="23" spans="1:9" x14ac:dyDescent="0.3">
      <c r="A23">
        <v>21</v>
      </c>
      <c r="B23">
        <f ca="1">($K$5+($K$6-$K$5)*RAND())/100</f>
        <v>1.4164699636019164E-2</v>
      </c>
      <c r="C23">
        <f ca="1">($K$7 + ($K$8-$K$7)*RAND())/100</f>
        <v>1.5709847767970422E-2</v>
      </c>
      <c r="D23">
        <v>3.2305663399999984E-7</v>
      </c>
      <c r="E23">
        <v>5.7010578214184717E-7</v>
      </c>
      <c r="F23" s="3">
        <f t="shared" si="1"/>
        <v>1386.0000084376402</v>
      </c>
      <c r="G23" s="3">
        <f t="shared" si="2"/>
        <v>4494.0000096961212</v>
      </c>
      <c r="H23">
        <f>($K$2/1000)*(D24^2 + E24^2)</f>
        <v>9.8969435080246343E-15</v>
      </c>
      <c r="I23">
        <f t="shared" ca="1" si="0"/>
        <v>-40.534159532845315</v>
      </c>
    </row>
    <row r="24" spans="1:9" x14ac:dyDescent="0.3">
      <c r="A24">
        <v>22</v>
      </c>
      <c r="B24">
        <f ca="1">($K$5+($K$6-$K$5)*RAND())/100</f>
        <v>1.396175942695228E-2</v>
      </c>
      <c r="C24">
        <f ca="1">($K$7 + ($K$8-$K$7)*RAND())/100</f>
        <v>1.602452188659946E-2</v>
      </c>
      <c r="D24">
        <v>5.3356621504749432E-7</v>
      </c>
      <c r="E24">
        <v>9.0275549510396555E-7</v>
      </c>
      <c r="F24" s="3">
        <f t="shared" si="1"/>
        <v>1386.0000087606968</v>
      </c>
      <c r="G24" s="3">
        <f t="shared" si="2"/>
        <v>4494.000010266227</v>
      </c>
      <c r="H24">
        <f>($K$2/1000)*(D25^2 + E25^2)</f>
        <v>4.0426208715623525E-15</v>
      </c>
      <c r="I24">
        <f t="shared" ca="1" si="0"/>
        <v>-46.227638173596688</v>
      </c>
    </row>
    <row r="25" spans="1:9" x14ac:dyDescent="0.3">
      <c r="A25">
        <v>23</v>
      </c>
      <c r="B25">
        <f ca="1">($K$5+($K$6-$K$5)*RAND())/100</f>
        <v>1.5240759630612253E-2</v>
      </c>
      <c r="C25">
        <f ca="1">($K$7 + ($K$8-$K$7)*RAND())/100</f>
        <v>1.6063734218829718E-2</v>
      </c>
      <c r="D25">
        <v>5.2578128418507944E-7</v>
      </c>
      <c r="E25">
        <v>4.1561296664198307E-7</v>
      </c>
      <c r="F25" s="3">
        <f t="shared" si="1"/>
        <v>1386.000009294263</v>
      </c>
      <c r="G25" s="3">
        <f t="shared" si="2"/>
        <v>4494.0000111689824</v>
      </c>
      <c r="H25">
        <f>($K$2/1000)*(D26^2 + E26^2)</f>
        <v>2.2532242619586063E-15</v>
      </c>
      <c r="I25">
        <f t="shared" ca="1" si="0"/>
        <v>-35.482851679947053</v>
      </c>
    </row>
    <row r="26" spans="1:9" x14ac:dyDescent="0.3">
      <c r="A26">
        <v>24</v>
      </c>
      <c r="B26">
        <f ca="1">($K$5+($K$6-$K$5)*RAND())/100</f>
        <v>1.2816737375863991E-2</v>
      </c>
      <c r="C26">
        <f ca="1">($K$7 + ($K$8-$K$7)*RAND())/100</f>
        <v>1.5956396882373672E-2</v>
      </c>
      <c r="D26">
        <v>3.7366270069613802E-7</v>
      </c>
      <c r="E26">
        <v>3.3276784315375548E-7</v>
      </c>
      <c r="F26" s="3">
        <f t="shared" si="1"/>
        <v>1386.0000098200444</v>
      </c>
      <c r="G26" s="3">
        <f t="shared" si="2"/>
        <v>4494.0000115845951</v>
      </c>
      <c r="H26">
        <f>($K$2/1000)*(D27^2 + E27^2)</f>
        <v>3.1017969193718299E-15</v>
      </c>
      <c r="I26">
        <f t="shared" ca="1" si="0"/>
        <v>-47.484940425231009</v>
      </c>
    </row>
    <row r="27" spans="1:9" x14ac:dyDescent="0.3">
      <c r="A27">
        <v>25</v>
      </c>
      <c r="B27">
        <f ca="1">($K$5+($K$6-$K$5)*RAND())/100</f>
        <v>1.5524052227624515E-2</v>
      </c>
      <c r="C27">
        <f ca="1">($K$7 + ($K$8-$K$7)*RAND())/100</f>
        <v>1.6075144521539693E-2</v>
      </c>
      <c r="D27">
        <v>5.8706396768361245E-7</v>
      </c>
      <c r="E27">
        <v>0</v>
      </c>
      <c r="F27" s="3">
        <f t="shared" si="1"/>
        <v>1386.0000101937071</v>
      </c>
      <c r="G27" s="3">
        <f t="shared" si="2"/>
        <v>4494.0000119173628</v>
      </c>
      <c r="H27">
        <f>($K$2/1000)*(D28^2 + E28^2)</f>
        <v>4.7209375127262901E-15</v>
      </c>
      <c r="I27">
        <f t="shared" ca="1" si="0"/>
        <v>-41.549940376194236</v>
      </c>
    </row>
    <row r="28" spans="1:9" x14ac:dyDescent="0.3">
      <c r="A28">
        <v>26</v>
      </c>
      <c r="B28">
        <f ca="1">($K$5+($K$6-$K$5)*RAND())/100</f>
        <v>1.419149232389395E-2</v>
      </c>
      <c r="C28">
        <f ca="1">($K$7 + ($K$8-$K$7)*RAND())/100</f>
        <v>1.6036526784721662E-2</v>
      </c>
      <c r="D28">
        <v>5.8009411833976769E-7</v>
      </c>
      <c r="E28">
        <v>4.3363513048731539E-7</v>
      </c>
      <c r="F28" s="3">
        <f t="shared" si="1"/>
        <v>1386.0000107807712</v>
      </c>
      <c r="G28" s="3">
        <f t="shared" si="2"/>
        <v>4494.0000119173628</v>
      </c>
      <c r="H28">
        <f>($K$2/1000)*(D29^2 + E29^2)</f>
        <v>3.6971720557937287E-15</v>
      </c>
      <c r="I28">
        <f t="shared" ca="1" si="0"/>
        <v>-39.172115811619257</v>
      </c>
    </row>
    <row r="29" spans="1:9" x14ac:dyDescent="0.3">
      <c r="A29">
        <v>27</v>
      </c>
      <c r="B29">
        <f ca="1">($K$5+($K$6-$K$5)*RAND())/100</f>
        <v>1.3581948333955637E-2</v>
      </c>
      <c r="C29">
        <f ca="1">($K$7 + ($K$8-$K$7)*RAND())/100</f>
        <v>1.5775728708298752E-2</v>
      </c>
      <c r="D29">
        <v>3.571021585192234E-7</v>
      </c>
      <c r="E29">
        <v>5.3223579686930452E-7</v>
      </c>
      <c r="F29" s="3">
        <f t="shared" si="1"/>
        <v>1386.0000113608653</v>
      </c>
      <c r="G29" s="3">
        <f t="shared" si="2"/>
        <v>4494.0000123509981</v>
      </c>
      <c r="H29">
        <f>($K$2/1000)*(D30^2 + E30^2)</f>
        <v>5.8716204805240636E-15</v>
      </c>
      <c r="I29">
        <f t="shared" ca="1" si="0"/>
        <v>-43.482634062183124</v>
      </c>
    </row>
    <row r="30" spans="1:9" x14ac:dyDescent="0.3">
      <c r="A30">
        <v>28</v>
      </c>
      <c r="B30">
        <f ca="1">($K$5+($K$6-$K$5)*RAND())/100</f>
        <v>1.4522670168545556E-2</v>
      </c>
      <c r="C30">
        <f ca="1">($K$7 + ($K$8-$K$7)*RAND())/100</f>
        <v>1.5715905972728053E-2</v>
      </c>
      <c r="D30">
        <v>4.5242905584637575E-7</v>
      </c>
      <c r="E30">
        <v>6.6911151913544421E-7</v>
      </c>
      <c r="F30" s="3">
        <f t="shared" si="1"/>
        <v>1386.0000117179675</v>
      </c>
      <c r="G30" s="3">
        <f t="shared" si="2"/>
        <v>4494.0000128832335</v>
      </c>
      <c r="H30">
        <f>($K$2/1000)*(D31^2 + E31^2)</f>
        <v>1.4937512037854848E-15</v>
      </c>
      <c r="I30">
        <f t="shared" ca="1" si="0"/>
        <v>-47.911661729496693</v>
      </c>
    </row>
    <row r="31" spans="1:9" x14ac:dyDescent="0.3">
      <c r="A31">
        <v>29</v>
      </c>
      <c r="B31">
        <f ca="1">($K$5+($K$6-$K$5)*RAND())/100</f>
        <v>1.5515363435206811E-2</v>
      </c>
      <c r="C31">
        <f ca="1">($K$7 + ($K$8-$K$7)*RAND())/100</f>
        <v>1.573909203971233E-2</v>
      </c>
      <c r="D31">
        <v>2.4829111150797774E-7</v>
      </c>
      <c r="E31">
        <v>3.2299207408587899E-7</v>
      </c>
      <c r="F31" s="3">
        <f t="shared" si="1"/>
        <v>1386.0000121703965</v>
      </c>
      <c r="G31" s="3">
        <f t="shared" si="2"/>
        <v>4494.0000135523451</v>
      </c>
      <c r="H31">
        <f>($K$2/1000)*(D32^2 + E32^2)</f>
        <v>6.5395766756397033E-15</v>
      </c>
      <c r="I31">
        <f t="shared" ca="1" si="0"/>
        <v>-47.143783803629496</v>
      </c>
    </row>
    <row r="32" spans="1:9" x14ac:dyDescent="0.3">
      <c r="A32">
        <v>30</v>
      </c>
      <c r="B32">
        <f ca="1">($K$5+($K$6-$K$5)*RAND())/100</f>
        <v>1.5430551860870891E-2</v>
      </c>
      <c r="C32">
        <f ca="1">($K$7 + ($K$8-$K$7)*RAND())/100</f>
        <v>1.6018121410032005E-2</v>
      </c>
      <c r="D32">
        <v>8.5241986756916554E-7</v>
      </c>
      <c r="E32">
        <v>0</v>
      </c>
      <c r="F32" s="3">
        <f t="shared" si="1"/>
        <v>1386.0000124186877</v>
      </c>
      <c r="G32" s="3">
        <f t="shared" si="2"/>
        <v>4494.0000138753376</v>
      </c>
      <c r="H32">
        <f>($K$2/1000)*(D33^2 + E33^2)</f>
        <v>4.5531800364605487E-15</v>
      </c>
      <c r="I32">
        <f t="shared" ca="1" si="0"/>
        <v>-33.612725564517909</v>
      </c>
    </row>
    <row r="33" spans="1:9" x14ac:dyDescent="0.3">
      <c r="A33">
        <v>31</v>
      </c>
      <c r="B33">
        <f ca="1">($K$5+($K$6-$K$5)*RAND())/100</f>
        <v>1.2420611146035487E-2</v>
      </c>
      <c r="C33">
        <f ca="1">($K$7 + ($K$8-$K$7)*RAND())/100</f>
        <v>1.6021284910162741E-2</v>
      </c>
      <c r="D33">
        <v>7.0215463420204785E-7</v>
      </c>
      <c r="E33">
        <v>1.135242820221711E-7</v>
      </c>
      <c r="F33" s="3">
        <f t="shared" si="1"/>
        <v>1386.0000132711075</v>
      </c>
      <c r="G33" s="3">
        <f t="shared" si="2"/>
        <v>4494.0000138753376</v>
      </c>
      <c r="H33">
        <f>($K$2/1000)*(D34^2 + E34^2)</f>
        <v>4.0808654306058787E-15</v>
      </c>
      <c r="I33">
        <f t="shared" ca="1" si="0"/>
        <v>-43.473811806927834</v>
      </c>
    </row>
    <row r="34" spans="1:9" x14ac:dyDescent="0.3">
      <c r="A34">
        <v>32</v>
      </c>
      <c r="B34">
        <f ca="1">($K$5+($K$6-$K$5)*RAND())/100</f>
        <v>1.4558664744637947E-2</v>
      </c>
      <c r="C34">
        <f ca="1">($K$7 + ($K$8-$K$7)*RAND())/100</f>
        <v>1.5838980907512276E-2</v>
      </c>
      <c r="D34">
        <v>6.7337173410349064E-7</v>
      </c>
      <c r="E34">
        <v>0</v>
      </c>
      <c r="F34" s="3">
        <f t="shared" si="1"/>
        <v>1386.0000139732622</v>
      </c>
      <c r="G34" s="3">
        <f t="shared" si="2"/>
        <v>4494.0000139888616</v>
      </c>
      <c r="H34">
        <f>($K$2/1000)*(D35^2 + E35^2)</f>
        <v>4.2908609171516894E-15</v>
      </c>
      <c r="I34">
        <f t="shared" ca="1" si="0"/>
        <v>-45.082281308935627</v>
      </c>
    </row>
    <row r="35" spans="1:9" x14ac:dyDescent="0.3">
      <c r="A35">
        <v>33</v>
      </c>
      <c r="B35">
        <f ca="1">($K$5+($K$6-$K$5)*RAND())/100</f>
        <v>1.4950548059157423E-2</v>
      </c>
      <c r="C35">
        <f ca="1">($K$7 + ($K$8-$K$7)*RAND())/100</f>
        <v>1.5949120955597439E-2</v>
      </c>
      <c r="D35">
        <v>5.3828913740628304E-7</v>
      </c>
      <c r="E35">
        <v>4.3244320861630527E-7</v>
      </c>
      <c r="F35" s="3">
        <f t="shared" si="1"/>
        <v>1386.0000146466339</v>
      </c>
      <c r="G35" s="3">
        <f t="shared" si="2"/>
        <v>4494.0000139888616</v>
      </c>
      <c r="H35">
        <f>($K$2/1000)*(D36^2 + E36^2)</f>
        <v>3.7477115574603436E-15</v>
      </c>
      <c r="I35">
        <f t="shared" ca="1" si="0"/>
        <v>-44.878528966873006</v>
      </c>
    </row>
    <row r="36" spans="1:9" x14ac:dyDescent="0.3">
      <c r="A36">
        <v>34</v>
      </c>
      <c r="B36">
        <f ca="1">($K$5+($K$6-$K$5)*RAND())/100</f>
        <v>1.4918079342450903E-2</v>
      </c>
      <c r="C36">
        <f ca="1">($K$7 + ($K$8-$K$7)*RAND())/100</f>
        <v>1.5990851060908862E-2</v>
      </c>
      <c r="D36">
        <v>0</v>
      </c>
      <c r="E36">
        <v>6.4530023653596433E-7</v>
      </c>
      <c r="F36" s="3">
        <f t="shared" si="1"/>
        <v>1386.0000151849231</v>
      </c>
      <c r="G36" s="3">
        <f t="shared" si="2"/>
        <v>4494.0000144213045</v>
      </c>
      <c r="H36">
        <f>($K$2/1000)*(D37^2 + E37^2)</f>
        <v>1.6948820109113255E-15</v>
      </c>
      <c r="I36">
        <f t="shared" ca="1" si="0"/>
        <v>-39.181301465152629</v>
      </c>
    </row>
    <row r="37" spans="1:9" x14ac:dyDescent="0.3">
      <c r="A37">
        <v>35</v>
      </c>
      <c r="B37">
        <f ca="1">($K$5+($K$6-$K$5)*RAND())/100</f>
        <v>1.3584856530384905E-2</v>
      </c>
      <c r="C37">
        <f ca="1">($K$7 + ($K$8-$K$7)*RAND())/100</f>
        <v>1.5778530842336956E-2</v>
      </c>
      <c r="D37">
        <v>2.0606719688918674E-7</v>
      </c>
      <c r="E37">
        <v>3.8191168324735091E-7</v>
      </c>
      <c r="F37" s="3">
        <f t="shared" si="1"/>
        <v>1386.0000151849231</v>
      </c>
      <c r="G37" s="3">
        <f t="shared" si="2"/>
        <v>4494.0000150666046</v>
      </c>
      <c r="H37">
        <f>($K$2/1000)*(D38^2 + E38^2)</f>
        <v>2.9420605795447872E-15</v>
      </c>
      <c r="I37">
        <f t="shared" ca="1" si="0"/>
        <v>-37.820605538325331</v>
      </c>
    </row>
    <row r="38" spans="1:9" x14ac:dyDescent="0.3">
      <c r="A38">
        <v>36</v>
      </c>
      <c r="B38">
        <f ca="1">($K$5+($K$6-$K$5)*RAND())/100</f>
        <v>1.32679838931631E-2</v>
      </c>
      <c r="C38">
        <f ca="1">($K$7 + ($K$8-$K$7)*RAND())/100</f>
        <v>1.5732903348467858E-2</v>
      </c>
      <c r="D38">
        <v>5.683162525702138E-7</v>
      </c>
      <c r="E38">
        <v>6.254803765083108E-8</v>
      </c>
      <c r="F38" s="3">
        <f t="shared" si="1"/>
        <v>1386.0000153909903</v>
      </c>
      <c r="G38" s="3">
        <f t="shared" si="2"/>
        <v>4494.000015448516</v>
      </c>
      <c r="H38">
        <f>($K$2/1000)*(D39^2 + E39^2)</f>
        <v>9.0000601115606177E-5</v>
      </c>
      <c r="I38">
        <f t="shared" ca="1" si="0"/>
        <v>-37.097184363830912</v>
      </c>
    </row>
    <row r="39" spans="1:9" x14ac:dyDescent="0.3">
      <c r="A39">
        <v>37</v>
      </c>
      <c r="B39">
        <f ca="1">($K$5+($K$6-$K$5)*RAND())/100</f>
        <v>1.3183185182655528E-2</v>
      </c>
      <c r="C39">
        <f ca="1">($K$7 + ($K$8-$K$7)*RAND())/100</f>
        <v>1.5979833907995088E-2</v>
      </c>
      <c r="D39">
        <v>0.10000033395253943</v>
      </c>
      <c r="E39">
        <v>5.9148824582748364E-8</v>
      </c>
      <c r="F39" s="3">
        <f t="shared" si="1"/>
        <v>1386.0000159593064</v>
      </c>
      <c r="G39" s="3">
        <f t="shared" si="2"/>
        <v>4494.0000155110638</v>
      </c>
      <c r="H39">
        <f>($K$2/1000)*(D40^2 + E40^2)</f>
        <v>2.5473662054182289E-15</v>
      </c>
      <c r="I39">
        <f t="shared" ca="1" si="0"/>
        <v>-42.905050200244887</v>
      </c>
    </row>
    <row r="40" spans="1:9" x14ac:dyDescent="0.3">
      <c r="A40">
        <v>38</v>
      </c>
      <c r="B40">
        <f ca="1">($K$5+($K$6-$K$5)*RAND())/100</f>
        <v>1.4430887692117646E-2</v>
      </c>
      <c r="C40">
        <f ca="1">($K$7 + ($K$8-$K$7)*RAND())/100</f>
        <v>1.5833892976580402E-2</v>
      </c>
      <c r="D40">
        <v>1.2903956524594301E-7</v>
      </c>
      <c r="E40">
        <v>5.1612932496812498E-7</v>
      </c>
      <c r="F40" s="3">
        <f t="shared" si="1"/>
        <v>1386.1000162932589</v>
      </c>
      <c r="G40" s="3">
        <f t="shared" si="2"/>
        <v>4494.0000155702128</v>
      </c>
      <c r="H40">
        <f>($K$2/1000)*(D41^2 + E41^2)</f>
        <v>8.6285727986112766E-15</v>
      </c>
      <c r="I40">
        <f t="shared" ca="1" si="0"/>
        <v>-38.421081644521735</v>
      </c>
    </row>
    <row r="41" spans="1:9" x14ac:dyDescent="0.3">
      <c r="A41">
        <v>39</v>
      </c>
      <c r="B41">
        <f ca="1">($K$5+($K$6-$K$5)*RAND())/100</f>
        <v>1.341709652761512E-2</v>
      </c>
      <c r="C41">
        <f ca="1">($K$7 + ($K$8-$K$7)*RAND())/100</f>
        <v>1.578194221718264E-2</v>
      </c>
      <c r="D41">
        <v>8.1598408028470615E-7</v>
      </c>
      <c r="E41">
        <v>5.4120263458221532E-7</v>
      </c>
      <c r="F41" s="3">
        <f t="shared" si="1"/>
        <v>1386.1000164222985</v>
      </c>
      <c r="G41" s="3">
        <f t="shared" si="2"/>
        <v>4494.0000160863419</v>
      </c>
      <c r="H41">
        <f>($K$2/1000)*(D42^2 + E42^2)</f>
        <v>9.618511524976861E-16</v>
      </c>
      <c r="I41">
        <f t="shared" ca="1" si="0"/>
        <v>-39.684036081382942</v>
      </c>
    </row>
    <row r="42" spans="1:9" x14ac:dyDescent="0.3">
      <c r="A42">
        <v>40</v>
      </c>
      <c r="B42">
        <f ca="1">($K$5+($K$6-$K$5)*RAND())/100</f>
        <v>1.3683989253202071E-2</v>
      </c>
      <c r="C42">
        <f ca="1">($K$7 + ($K$8-$K$7)*RAND())/100</f>
        <v>1.5736102430398188E-2</v>
      </c>
      <c r="D42">
        <v>2.1051907515251227E-7</v>
      </c>
      <c r="E42">
        <v>2.5010811517112273E-7</v>
      </c>
      <c r="F42" s="3">
        <f t="shared" si="1"/>
        <v>1386.1000172382826</v>
      </c>
      <c r="G42" s="3">
        <f t="shared" si="2"/>
        <v>4494.0000166275449</v>
      </c>
      <c r="H42">
        <f>($K$2/1000)*(D43^2 + E43^2)</f>
        <v>1.9600828660965912E-15</v>
      </c>
      <c r="I42">
        <f t="shared" ca="1" si="0"/>
        <v>-34.047844296715034</v>
      </c>
    </row>
    <row r="43" spans="1:9" x14ac:dyDescent="0.3">
      <c r="A43">
        <v>41</v>
      </c>
      <c r="B43">
        <f ca="1">($K$5+($K$6-$K$5)*RAND())/100</f>
        <v>1.2469851085064267E-2</v>
      </c>
      <c r="C43">
        <f ca="1">($K$7 + ($K$8-$K$7)*RAND())/100</f>
        <v>1.586585846128374E-2</v>
      </c>
      <c r="D43">
        <v>4.6667653157389808E-7</v>
      </c>
      <c r="E43">
        <v>0</v>
      </c>
      <c r="F43" s="3">
        <f t="shared" si="1"/>
        <v>1386.1000174488017</v>
      </c>
      <c r="G43" s="3">
        <f t="shared" si="2"/>
        <v>4494.0000168776533</v>
      </c>
      <c r="H43">
        <f>($K$2/1000)*(D44^2 + E44^2)</f>
        <v>3.7320361972069635E-15</v>
      </c>
      <c r="I43">
        <f t="shared" ca="1" si="0"/>
        <v>-39.8194410505278</v>
      </c>
    </row>
    <row r="44" spans="1:9" x14ac:dyDescent="0.3">
      <c r="A44">
        <v>42</v>
      </c>
      <c r="B44">
        <f ca="1">($K$5+($K$6-$K$5)*RAND())/100</f>
        <v>1.3797790810476029E-2</v>
      </c>
      <c r="C44">
        <f ca="1">($K$7 + ($K$8-$K$7)*RAND())/100</f>
        <v>1.6007380995488003E-2</v>
      </c>
      <c r="D44">
        <v>4.3139011912698862E-7</v>
      </c>
      <c r="E44">
        <v>4.780933524931654E-7</v>
      </c>
      <c r="F44" s="3">
        <f t="shared" si="1"/>
        <v>1386.1000179154782</v>
      </c>
      <c r="G44" s="3">
        <f t="shared" si="2"/>
        <v>4494.0000168776533</v>
      </c>
      <c r="H44">
        <f>($K$2/1000)*(D45^2 + E45^2)</f>
        <v>3.0766777001920945E-15</v>
      </c>
      <c r="I44">
        <f t="shared" ca="1" si="0"/>
        <v>-34.961736182311768</v>
      </c>
    </row>
    <row r="45" spans="1:9" x14ac:dyDescent="0.3">
      <c r="A45">
        <v>43</v>
      </c>
      <c r="B45">
        <f ca="1">($K$5+($K$6-$K$5)*RAND())/100</f>
        <v>1.2671718470309106E-2</v>
      </c>
      <c r="C45">
        <f ca="1">($K$7 + ($K$8-$K$7)*RAND())/100</f>
        <v>1.5861024855482547E-2</v>
      </c>
      <c r="D45">
        <v>3.7122884906644881E-7</v>
      </c>
      <c r="E45">
        <v>4.5171032689094168E-7</v>
      </c>
      <c r="F45" s="3">
        <f t="shared" si="1"/>
        <v>1386.1000183468684</v>
      </c>
      <c r="G45" s="3">
        <f t="shared" si="2"/>
        <v>4494.0000173557464</v>
      </c>
      <c r="H45">
        <f>($K$2/1000)*(D46^2 + E46^2)</f>
        <v>4.438107005790637E-15</v>
      </c>
      <c r="I45">
        <f t="shared" ca="1" si="0"/>
        <v>-41.655355697557795</v>
      </c>
    </row>
    <row r="46" spans="1:9" x14ac:dyDescent="0.3">
      <c r="A46">
        <v>44</v>
      </c>
      <c r="B46">
        <f ca="1">($K$5+($K$6-$K$5)*RAND())/100</f>
        <v>1.4127419942211828E-2</v>
      </c>
      <c r="C46">
        <f ca="1">($K$7 + ($K$8-$K$7)*RAND())/100</f>
        <v>1.5751583204296885E-2</v>
      </c>
      <c r="D46">
        <v>6.9283273376519803E-7</v>
      </c>
      <c r="E46">
        <v>1.1448058205148352E-7</v>
      </c>
      <c r="F46" s="3">
        <f t="shared" si="1"/>
        <v>1386.1000187180973</v>
      </c>
      <c r="G46" s="3">
        <f t="shared" si="2"/>
        <v>4494.000017807457</v>
      </c>
      <c r="H46">
        <f>($K$2/1000)*(D47^2 + E47^2)</f>
        <v>7.6961434349358915E-16</v>
      </c>
      <c r="I46">
        <f t="shared" ca="1" si="0"/>
        <v>-39.500937362407413</v>
      </c>
    </row>
    <row r="47" spans="1:9" x14ac:dyDescent="0.3">
      <c r="A47">
        <v>45</v>
      </c>
      <c r="B47">
        <f ca="1">($K$5+($K$6-$K$5)*RAND())/100</f>
        <v>1.3684579867191125E-2</v>
      </c>
      <c r="C47">
        <f ca="1">($K$7 + ($K$8-$K$7)*RAND())/100</f>
        <v>1.5870113626686409E-2</v>
      </c>
      <c r="D47">
        <v>2.6270754869736508E-7</v>
      </c>
      <c r="E47">
        <v>1.2844239444218789E-7</v>
      </c>
      <c r="F47" s="3">
        <f t="shared" si="1"/>
        <v>1386.1000194109301</v>
      </c>
      <c r="G47" s="3">
        <f t="shared" si="2"/>
        <v>4494.0000179219378</v>
      </c>
      <c r="H47">
        <f>($K$2/1000)*(D48^2 + E48^2)</f>
        <v>2.0747728254823394E-15</v>
      </c>
      <c r="I47">
        <f t="shared" ca="1" si="0"/>
        <v>-45.958331053706232</v>
      </c>
    </row>
    <row r="48" spans="1:9" x14ac:dyDescent="0.3">
      <c r="A48">
        <v>46</v>
      </c>
      <c r="B48">
        <f ca="1">($K$5+($K$6-$K$5)*RAND())/100</f>
        <v>1.5168592739403903E-2</v>
      </c>
      <c r="C48">
        <f ca="1">($K$7 + ($K$8-$K$7)*RAND())/100</f>
        <v>1.6022887725088582E-2</v>
      </c>
      <c r="D48">
        <v>1.0389920876632893E-7</v>
      </c>
      <c r="E48">
        <v>4.6875928615891225E-7</v>
      </c>
      <c r="F48" s="3">
        <f t="shared" si="1"/>
        <v>1386.1000196736377</v>
      </c>
      <c r="G48" s="3">
        <f t="shared" si="2"/>
        <v>4494.0000180503803</v>
      </c>
      <c r="H48">
        <f>($K$2/1000)*(D49^2 + E49^2)</f>
        <v>2.9838329237504077E-15</v>
      </c>
      <c r="I48">
        <f t="shared" ca="1" si="0"/>
        <v>-39.308571920986211</v>
      </c>
    </row>
    <row r="49" spans="1:9" x14ac:dyDescent="0.3">
      <c r="A49">
        <v>47</v>
      </c>
      <c r="B49">
        <f ca="1">($K$5+($K$6-$K$5)*RAND())/100</f>
        <v>1.3681856220767173E-2</v>
      </c>
      <c r="C49">
        <f ca="1">($K$7 + ($K$8-$K$7)*RAND())/100</f>
        <v>1.600006483808945E-2</v>
      </c>
      <c r="D49">
        <v>4.5567990461936435E-7</v>
      </c>
      <c r="E49">
        <v>3.5198411335443834E-7</v>
      </c>
      <c r="F49" s="3">
        <f t="shared" si="1"/>
        <v>1386.100019777537</v>
      </c>
      <c r="G49" s="3">
        <f t="shared" si="2"/>
        <v>4494.0000185191393</v>
      </c>
      <c r="H49">
        <f>($K$2/1000)*(D50^2 + E50^2)</f>
        <v>0</v>
      </c>
      <c r="I49">
        <f t="shared" ca="1" si="0"/>
        <v>-39.093891467445687</v>
      </c>
    </row>
    <row r="50" spans="1:9" x14ac:dyDescent="0.3">
      <c r="A50">
        <v>48</v>
      </c>
      <c r="B50">
        <f ca="1">($K$5+($K$6-$K$5)*RAND())/100</f>
        <v>1.3605916492356646E-2</v>
      </c>
      <c r="C50">
        <f ca="1">($K$7 + ($K$8-$K$7)*RAND())/100</f>
        <v>1.5908734711838349E-2</v>
      </c>
      <c r="D50">
        <v>0</v>
      </c>
      <c r="E50">
        <v>0</v>
      </c>
      <c r="F50" s="3">
        <f t="shared" si="1"/>
        <v>1386.1000202332168</v>
      </c>
      <c r="G50" s="3">
        <f t="shared" si="2"/>
        <v>4494.0000188711238</v>
      </c>
      <c r="H50">
        <f>($K$2/1000)*(D51^2 + E51^2)</f>
        <v>0</v>
      </c>
      <c r="I50">
        <f t="shared" si="0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0C83-F486-4B1D-B5FE-6F4055820432}">
  <dimension ref="A1:K50"/>
  <sheetViews>
    <sheetView topLeftCell="A4" workbookViewId="0">
      <selection activeCell="S21" sqref="S21"/>
    </sheetView>
  </sheetViews>
  <sheetFormatPr defaultRowHeight="14.4" x14ac:dyDescent="0.3"/>
  <cols>
    <col min="6" max="7" width="14.664062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0</v>
      </c>
    </row>
    <row r="2" spans="1:11" x14ac:dyDescent="0.3">
      <c r="A2">
        <v>0</v>
      </c>
      <c r="B2">
        <f ca="1">($K$5+($K$6-$K$5)*RAND())/100</f>
        <v>1.3659677642387727E-2</v>
      </c>
      <c r="C2">
        <f ca="1">($K$7 + ($K$8-$K$7)*RAND())/100</f>
        <v>1.5915999536527389E-2</v>
      </c>
      <c r="D2">
        <v>3.887750361621149E-3</v>
      </c>
      <c r="E2">
        <v>7.6268605454732864E-3</v>
      </c>
      <c r="F2" s="2">
        <f>$K$4</f>
        <v>1386</v>
      </c>
      <c r="G2" s="2">
        <f>$K$3</f>
        <v>4494</v>
      </c>
      <c r="H2">
        <f>($K$2/1000)*(D3^2 + E3^2)</f>
        <v>3.3037955274636862E-6</v>
      </c>
      <c r="I2">
        <f ca="1">C3*F3 - B3*G3 - H3</f>
        <v>-41.172274862883476</v>
      </c>
      <c r="J2" t="s">
        <v>1</v>
      </c>
      <c r="K2">
        <v>9</v>
      </c>
    </row>
    <row r="3" spans="1:11" x14ac:dyDescent="0.3">
      <c r="A3">
        <v>1</v>
      </c>
      <c r="B3">
        <f ca="1">($K$5+($K$6-$K$5)*RAND())/100</f>
        <v>1.4014575998314792E-2</v>
      </c>
      <c r="C3">
        <f ca="1">($K$7 + ($K$8-$K$7)*RAND())/100</f>
        <v>1.5735252296553259E-2</v>
      </c>
      <c r="D3">
        <v>1.7611043896158331E-2</v>
      </c>
      <c r="E3">
        <v>7.5458283062891087E-3</v>
      </c>
      <c r="F3" s="2">
        <f>F2 + D3</f>
        <v>1386.0176110438961</v>
      </c>
      <c r="G3" s="2">
        <f>G2 + E3</f>
        <v>4494.0075458283063</v>
      </c>
      <c r="H3">
        <f>($K$2/1000)*(D4^2 + E4^2)</f>
        <v>1.3721142613528751E-6</v>
      </c>
      <c r="I3">
        <f t="shared" ref="I3:I50" ca="1" si="0">C4*F4 - B4*G4 - H4</f>
        <v>-33.726912421623972</v>
      </c>
      <c r="J3" t="s">
        <v>2</v>
      </c>
      <c r="K3">
        <v>4494</v>
      </c>
    </row>
    <row r="4" spans="1:11" x14ac:dyDescent="0.3">
      <c r="A4">
        <v>2</v>
      </c>
      <c r="B4">
        <f ca="1">($K$5+($K$6-$K$5)*RAND())/100</f>
        <v>1.2417630660345999E-2</v>
      </c>
      <c r="C4">
        <f ca="1">($K$7 + ($K$8-$K$7)*RAND())/100</f>
        <v>1.5929005718325503E-2</v>
      </c>
      <c r="D4">
        <v>1.1577201657710801E-2</v>
      </c>
      <c r="E4">
        <v>4.2924983316266685E-3</v>
      </c>
      <c r="F4" s="2">
        <f t="shared" ref="F4:G50" si="1">F3 + D4</f>
        <v>1386.0291882455538</v>
      </c>
      <c r="G4" s="2">
        <f t="shared" si="1"/>
        <v>4494.0118383266381</v>
      </c>
      <c r="H4">
        <f>($K$2/1000)*(D5^2 + E5^2)</f>
        <v>9.5390705013267089E-8</v>
      </c>
      <c r="I4">
        <f t="shared" ca="1" si="0"/>
        <v>-43.111252713262751</v>
      </c>
      <c r="J4" t="s">
        <v>3</v>
      </c>
      <c r="K4">
        <v>1386</v>
      </c>
    </row>
    <row r="5" spans="1:11" x14ac:dyDescent="0.3">
      <c r="A5">
        <v>3</v>
      </c>
      <c r="B5">
        <f ca="1">($K$5+($K$6-$K$5)*RAND())/100</f>
        <v>1.4485714430182284E-2</v>
      </c>
      <c r="C5">
        <f ca="1">($K$7 + ($K$8-$K$7)*RAND())/100</f>
        <v>1.5863784083944694E-2</v>
      </c>
      <c r="D5">
        <v>3.2556055079963763E-3</v>
      </c>
      <c r="E5">
        <v>0</v>
      </c>
      <c r="F5" s="2">
        <f t="shared" si="1"/>
        <v>1386.0324438510618</v>
      </c>
      <c r="G5" s="2">
        <f t="shared" si="1"/>
        <v>4494.0118383266381</v>
      </c>
      <c r="H5">
        <f>($K$2/1000)*(D6^2 + E6^2)</f>
        <v>1.2242977559847701E-18</v>
      </c>
      <c r="I5">
        <f t="shared" ca="1" si="0"/>
        <v>-37.549026710655937</v>
      </c>
      <c r="J5" t="s">
        <v>4</v>
      </c>
      <c r="K5">
        <v>1.24</v>
      </c>
    </row>
    <row r="6" spans="1:11" x14ac:dyDescent="0.3">
      <c r="A6">
        <v>4</v>
      </c>
      <c r="B6">
        <f ca="1">($K$5+($K$6-$K$5)*RAND())/100</f>
        <v>1.3228302751887838E-2</v>
      </c>
      <c r="C6">
        <f ca="1">($K$7 + ($K$8-$K$7)*RAND())/100</f>
        <v>1.5799862805900677E-2</v>
      </c>
      <c r="D6">
        <v>4.2196475364877169E-9</v>
      </c>
      <c r="E6">
        <v>1.0873254281314355E-8</v>
      </c>
      <c r="F6" s="2">
        <f t="shared" si="1"/>
        <v>1386.0324438552814</v>
      </c>
      <c r="G6" s="2">
        <f t="shared" si="1"/>
        <v>4494.0118383375111</v>
      </c>
      <c r="H6">
        <f>($K$2/1000)*(D7^2 + E7^2)</f>
        <v>1.0474509096355495E-16</v>
      </c>
      <c r="I6">
        <f t="shared" ca="1" si="0"/>
        <v>-46.409090839461754</v>
      </c>
      <c r="J6" t="s">
        <v>5</v>
      </c>
      <c r="K6">
        <v>1.56</v>
      </c>
    </row>
    <row r="7" spans="1:11" x14ac:dyDescent="0.3">
      <c r="A7">
        <v>5</v>
      </c>
      <c r="B7">
        <f ca="1">($K$5+($K$6-$K$5)*RAND())/100</f>
        <v>1.5269613545595376E-2</v>
      </c>
      <c r="C7">
        <f ca="1">($K$7 + ($K$8-$K$7)*RAND())/100</f>
        <v>1.6026131466115492E-2</v>
      </c>
      <c r="D7">
        <v>6.6608342955242872E-9</v>
      </c>
      <c r="E7">
        <v>1.0767533016843999E-7</v>
      </c>
      <c r="F7" s="2">
        <f t="shared" si="1"/>
        <v>1386.0324438619423</v>
      </c>
      <c r="G7" s="2">
        <f t="shared" si="1"/>
        <v>4494.0118384451862</v>
      </c>
      <c r="H7">
        <f>($K$2/1000)*(D8^2 + E8^2)</f>
        <v>4.9587059834159032E-6</v>
      </c>
      <c r="I7">
        <f t="shared" ca="1" si="0"/>
        <v>-39.531767575016858</v>
      </c>
      <c r="J7" t="s">
        <v>6</v>
      </c>
      <c r="K7">
        <v>1.57</v>
      </c>
    </row>
    <row r="8" spans="1:11" x14ac:dyDescent="0.3">
      <c r="A8">
        <v>6</v>
      </c>
      <c r="B8">
        <f ca="1">($K$5+($K$6-$K$5)*RAND())/100</f>
        <v>1.3662769244932933E-2</v>
      </c>
      <c r="C8">
        <f ca="1">($K$7 + ($K$8-$K$7)*RAND())/100</f>
        <v>1.5778274184411568E-2</v>
      </c>
      <c r="D8">
        <v>4.9112030864196733E-9</v>
      </c>
      <c r="E8">
        <v>2.3472693315651529E-2</v>
      </c>
      <c r="F8" s="2">
        <f t="shared" si="1"/>
        <v>1386.0324438668536</v>
      </c>
      <c r="G8" s="2">
        <f t="shared" si="1"/>
        <v>4494.035311138502</v>
      </c>
      <c r="H8">
        <f>($K$2/1000)*(D9^2 + E9^2)</f>
        <v>6.8172377256247664E-8</v>
      </c>
      <c r="I8">
        <f t="shared" ca="1" si="0"/>
        <v>-43.26597154897545</v>
      </c>
      <c r="J8" t="s">
        <v>7</v>
      </c>
      <c r="K8">
        <v>1.61</v>
      </c>
    </row>
    <row r="9" spans="1:11" x14ac:dyDescent="0.3">
      <c r="A9">
        <v>7</v>
      </c>
      <c r="B9">
        <f ca="1">($K$5+($K$6-$K$5)*RAND())/100</f>
        <v>1.454214923443441E-2</v>
      </c>
      <c r="C9">
        <f ca="1">($K$7 + ($K$8-$K$7)*RAND())/100</f>
        <v>1.5935414810105554E-2</v>
      </c>
      <c r="D9">
        <v>3.899340855189401E-10</v>
      </c>
      <c r="E9">
        <v>2.7522188474079176E-3</v>
      </c>
      <c r="F9" s="2">
        <f t="shared" si="1"/>
        <v>1386.0324438672435</v>
      </c>
      <c r="G9" s="2">
        <f t="shared" si="1"/>
        <v>4494.0380633573495</v>
      </c>
      <c r="H9">
        <f>($K$2/1000)*(D10^2 + E10^2)</f>
        <v>1.2996931406970574E-6</v>
      </c>
      <c r="I9">
        <f t="shared" ca="1" si="0"/>
        <v>-40.698084888914444</v>
      </c>
    </row>
    <row r="10" spans="1:11" x14ac:dyDescent="0.3">
      <c r="A10">
        <v>8</v>
      </c>
      <c r="B10">
        <f ca="1">($K$5+($K$6-$K$5)*RAND())/100</f>
        <v>1.3904855803104047E-2</v>
      </c>
      <c r="C10">
        <f ca="1">($K$7 + ($K$8-$K$7)*RAND())/100</f>
        <v>1.5721697478806793E-2</v>
      </c>
      <c r="D10">
        <v>1.0537145743931926E-2</v>
      </c>
      <c r="E10">
        <v>5.7774482721593464E-3</v>
      </c>
      <c r="F10" s="2">
        <f t="shared" si="1"/>
        <v>1386.0429810129874</v>
      </c>
      <c r="G10" s="2">
        <f t="shared" si="1"/>
        <v>4494.0438408056216</v>
      </c>
      <c r="H10">
        <f>($K$2/1000)*(D11^2 + E11^2)</f>
        <v>1.7497941328368815E-6</v>
      </c>
      <c r="I10">
        <f t="shared" ca="1" si="0"/>
        <v>-44.244759948993043</v>
      </c>
      <c r="K10" t="s">
        <v>17</v>
      </c>
    </row>
    <row r="11" spans="1:11" x14ac:dyDescent="0.3">
      <c r="A11">
        <v>9</v>
      </c>
      <c r="B11">
        <f ca="1">($K$5+($K$6-$K$5)*RAND())/100</f>
        <v>1.4767734818542844E-2</v>
      </c>
      <c r="C11">
        <f ca="1">($K$7 + ($K$8-$K$7)*RAND())/100</f>
        <v>1.5960460711303096E-2</v>
      </c>
      <c r="D11">
        <v>1.3892939574093432E-2</v>
      </c>
      <c r="E11">
        <v>1.186507608824181E-3</v>
      </c>
      <c r="F11" s="2">
        <f t="shared" si="1"/>
        <v>1386.0568739525615</v>
      </c>
      <c r="G11" s="2">
        <f t="shared" si="1"/>
        <v>4494.0450273132301</v>
      </c>
      <c r="H11">
        <f>($K$2/1000)*(D12^2 + E12^2)</f>
        <v>1.0033915653933502E-6</v>
      </c>
      <c r="I11">
        <f t="shared" ca="1" si="0"/>
        <v>-34.963414006834086</v>
      </c>
      <c r="K11">
        <f ca="1">SUM(I3:I50)</f>
        <v>-1867.3051195117835</v>
      </c>
    </row>
    <row r="12" spans="1:11" x14ac:dyDescent="0.3">
      <c r="A12">
        <v>10</v>
      </c>
      <c r="B12">
        <f ca="1">($K$5+($K$6-$K$5)*RAND())/100</f>
        <v>1.2649975123195599E-2</v>
      </c>
      <c r="C12">
        <f ca="1">($K$7 + ($K$8-$K$7)*RAND())/100</f>
        <v>1.5790172258370264E-2</v>
      </c>
      <c r="D12">
        <v>8.8535373277955701E-3</v>
      </c>
      <c r="E12">
        <v>5.7535057569887537E-3</v>
      </c>
      <c r="F12" s="2">
        <f t="shared" si="1"/>
        <v>1386.0657274898892</v>
      </c>
      <c r="G12" s="2">
        <f t="shared" si="1"/>
        <v>4494.0507808189868</v>
      </c>
      <c r="H12">
        <f>($K$2/1000)*(D13^2 + E13^2)</f>
        <v>2.5584794598295238E-8</v>
      </c>
      <c r="I12">
        <f t="shared" ca="1" si="0"/>
        <v>-44.745220279104416</v>
      </c>
    </row>
    <row r="13" spans="1:11" x14ac:dyDescent="0.3">
      <c r="A13">
        <v>11</v>
      </c>
      <c r="B13">
        <f ca="1">($K$5+($K$6-$K$5)*RAND())/100</f>
        <v>1.4888019702882546E-2</v>
      </c>
      <c r="C13">
        <f ca="1">($K$7 + ($K$8-$K$7)*RAND())/100</f>
        <v>1.5989335060623434E-2</v>
      </c>
      <c r="D13">
        <v>1.6860471390897809E-3</v>
      </c>
      <c r="E13">
        <v>1.1545703474683035E-8</v>
      </c>
      <c r="F13" s="2">
        <f t="shared" si="1"/>
        <v>1386.0674135370284</v>
      </c>
      <c r="G13" s="2">
        <f t="shared" si="1"/>
        <v>4494.0507808305329</v>
      </c>
      <c r="H13">
        <f>($K$2/1000)*(D14^2 + E14^2)</f>
        <v>0</v>
      </c>
      <c r="I13">
        <f t="shared" ca="1" si="0"/>
        <v>-40.498826127264408</v>
      </c>
    </row>
    <row r="14" spans="1:11" x14ac:dyDescent="0.3">
      <c r="A14">
        <v>12</v>
      </c>
      <c r="B14">
        <f ca="1">($K$5+($K$6-$K$5)*RAND())/100</f>
        <v>1.3969748487262498E-2</v>
      </c>
      <c r="C14">
        <f ca="1">($K$7 + ($K$8-$K$7)*RAND())/100</f>
        <v>1.6075649595405826E-2</v>
      </c>
      <c r="D14">
        <v>0</v>
      </c>
      <c r="E14">
        <v>0</v>
      </c>
      <c r="F14" s="2">
        <f t="shared" si="1"/>
        <v>1386.0674135370284</v>
      </c>
      <c r="G14" s="2">
        <f t="shared" si="1"/>
        <v>4494.0507808305329</v>
      </c>
      <c r="H14">
        <f>($K$2/1000)*(D15^2 + E15^2)</f>
        <v>1.0857079468434496E-6</v>
      </c>
      <c r="I14">
        <f t="shared" ca="1" si="0"/>
        <v>-37.103887607737271</v>
      </c>
    </row>
    <row r="15" spans="1:11" x14ac:dyDescent="0.3">
      <c r="A15">
        <v>13</v>
      </c>
      <c r="B15">
        <f ca="1">($K$5+($K$6-$K$5)*RAND())/100</f>
        <v>1.318805950600036E-2</v>
      </c>
      <c r="C15">
        <f ca="1">($K$7 + ($K$8-$K$7)*RAND())/100</f>
        <v>1.5990411594797152E-2</v>
      </c>
      <c r="D15">
        <v>1.0662891062191916E-2</v>
      </c>
      <c r="E15">
        <v>2.6338129226971705E-3</v>
      </c>
      <c r="F15" s="2">
        <f t="shared" si="1"/>
        <v>1386.0780764280905</v>
      </c>
      <c r="G15" s="2">
        <f t="shared" si="1"/>
        <v>4494.0534146434557</v>
      </c>
      <c r="H15">
        <f>($K$2/1000)*(D16^2 + E16^2)</f>
        <v>2.6968851370011157E-6</v>
      </c>
      <c r="I15">
        <f t="shared" ca="1" si="0"/>
        <v>-37.51586118782361</v>
      </c>
    </row>
    <row r="16" spans="1:11" x14ac:dyDescent="0.3">
      <c r="A16">
        <v>14</v>
      </c>
      <c r="B16">
        <f ca="1">($K$5+($K$6-$K$5)*RAND())/100</f>
        <v>1.3233989086051456E-2</v>
      </c>
      <c r="C16">
        <f ca="1">($K$7 + ($K$8-$K$7)*RAND())/100</f>
        <v>1.5842107857989528E-2</v>
      </c>
      <c r="D16">
        <v>1.0883478140464824E-2</v>
      </c>
      <c r="E16">
        <v>1.3461196368720703E-2</v>
      </c>
      <c r="F16" s="2">
        <f t="shared" si="1"/>
        <v>1386.0889599062309</v>
      </c>
      <c r="G16" s="2">
        <f t="shared" si="1"/>
        <v>4494.0668758398242</v>
      </c>
      <c r="H16">
        <f>($K$2/1000)*(D17^2 + E17^2)</f>
        <v>4.5770483515057474E-9</v>
      </c>
      <c r="I16">
        <f t="shared" ca="1" si="0"/>
        <v>-40.302709609791982</v>
      </c>
    </row>
    <row r="17" spans="1:9" x14ac:dyDescent="0.3">
      <c r="A17">
        <v>15</v>
      </c>
      <c r="B17">
        <f ca="1">($K$5+($K$6-$K$5)*RAND())/100</f>
        <v>1.3902912985922904E-2</v>
      </c>
      <c r="C17">
        <f ca="1">($K$7 + ($K$8-$K$7)*RAND())/100</f>
        <v>1.6000343664191671E-2</v>
      </c>
      <c r="D17">
        <v>7.1313457912590601E-4</v>
      </c>
      <c r="E17">
        <v>0</v>
      </c>
      <c r="F17" s="2">
        <f t="shared" si="1"/>
        <v>1386.0896730408101</v>
      </c>
      <c r="G17" s="2">
        <f t="shared" si="1"/>
        <v>4494.0668758398242</v>
      </c>
      <c r="H17">
        <f>($K$2/1000)*(D18^2 + E18^2)</f>
        <v>1.1254313912727176E-10</v>
      </c>
      <c r="I17">
        <f t="shared" ca="1" si="0"/>
        <v>-43.955704234235093</v>
      </c>
    </row>
    <row r="18" spans="1:9" x14ac:dyDescent="0.3">
      <c r="A18">
        <v>16</v>
      </c>
      <c r="B18">
        <f ca="1">($K$5+($K$6-$K$5)*RAND())/100</f>
        <v>1.4683521164881707E-2</v>
      </c>
      <c r="C18">
        <f ca="1">($K$7 + ($K$8-$K$7)*RAND())/100</f>
        <v>1.5895814412639722E-2</v>
      </c>
      <c r="D18">
        <v>0</v>
      </c>
      <c r="E18">
        <v>1.1182483282510879E-4</v>
      </c>
      <c r="F18" s="2">
        <f t="shared" si="1"/>
        <v>1386.0896730408101</v>
      </c>
      <c r="G18" s="2">
        <f t="shared" si="1"/>
        <v>4494.0669876646571</v>
      </c>
      <c r="H18">
        <f>($K$2/1000)*(D19^2 + E19^2)</f>
        <v>7.063981069010523E-7</v>
      </c>
      <c r="I18">
        <f t="shared" ca="1" si="0"/>
        <v>-46.029893036383719</v>
      </c>
    </row>
    <row r="19" spans="1:9" x14ac:dyDescent="0.3">
      <c r="A19">
        <v>17</v>
      </c>
      <c r="B19">
        <f ca="1">($K$5+($K$6-$K$5)*RAND())/100</f>
        <v>1.5201376773884435E-2</v>
      </c>
      <c r="C19">
        <f ca="1">($K$7 + ($K$8-$K$7)*RAND())/100</f>
        <v>1.6078303215088414E-2</v>
      </c>
      <c r="D19">
        <v>8.8593836436011951E-3</v>
      </c>
      <c r="E19">
        <v>7.2784891287220132E-9</v>
      </c>
      <c r="F19" s="2">
        <f t="shared" si="1"/>
        <v>1386.0985324244537</v>
      </c>
      <c r="G19" s="2">
        <f t="shared" si="1"/>
        <v>4494.0669876719357</v>
      </c>
      <c r="H19">
        <f>($K$2/1000)*(D20^2 + E20^2)</f>
        <v>1.6191059870523725E-11</v>
      </c>
      <c r="I19">
        <f t="shared" ca="1" si="0"/>
        <v>-46.047400493392736</v>
      </c>
    </row>
    <row r="20" spans="1:9" x14ac:dyDescent="0.3">
      <c r="A20">
        <v>18</v>
      </c>
      <c r="B20">
        <f ca="1">($K$5+($K$6-$K$5)*RAND())/100</f>
        <v>1.5119756056950319E-2</v>
      </c>
      <c r="C20">
        <f ca="1">($K$7 + ($K$8-$K$7)*RAND())/100</f>
        <v>1.5801039046425013E-2</v>
      </c>
      <c r="D20">
        <v>1.2077027365883903E-8</v>
      </c>
      <c r="E20">
        <v>4.2414696821099924E-5</v>
      </c>
      <c r="F20" s="2">
        <f t="shared" si="1"/>
        <v>1386.0985324365306</v>
      </c>
      <c r="G20" s="2">
        <f t="shared" si="1"/>
        <v>4494.0670300866323</v>
      </c>
      <c r="H20">
        <f>($K$2/1000)*(D21^2 + E21^2)</f>
        <v>3.2812166784220164E-7</v>
      </c>
      <c r="I20">
        <f t="shared" ca="1" si="0"/>
        <v>-43.009281822019211</v>
      </c>
    </row>
    <row r="21" spans="1:9" x14ac:dyDescent="0.3">
      <c r="A21">
        <v>19</v>
      </c>
      <c r="B21">
        <f ca="1">($K$5+($K$6-$K$5)*RAND())/100</f>
        <v>1.4502885078119903E-2</v>
      </c>
      <c r="C21">
        <f ca="1">($K$7 + ($K$8-$K$7)*RAND())/100</f>
        <v>1.5992845685225597E-2</v>
      </c>
      <c r="D21">
        <v>3.9139437751254703E-3</v>
      </c>
      <c r="E21">
        <v>4.5977176097205608E-3</v>
      </c>
      <c r="F21" s="2">
        <f t="shared" si="1"/>
        <v>1386.1024463803058</v>
      </c>
      <c r="G21" s="2">
        <f t="shared" si="1"/>
        <v>4494.0716278042419</v>
      </c>
      <c r="H21">
        <f>($K$2/1000)*(D22^2 + E22^2)</f>
        <v>8.9700302638156227E-12</v>
      </c>
      <c r="I21">
        <f t="shared" ca="1" si="0"/>
        <v>-37.28658030442071</v>
      </c>
    </row>
    <row r="22" spans="1:9" x14ac:dyDescent="0.3">
      <c r="A22">
        <v>20</v>
      </c>
      <c r="B22">
        <f ca="1">($K$5+($K$6-$K$5)*RAND())/100</f>
        <v>1.3206833207499357E-2</v>
      </c>
      <c r="C22">
        <f ca="1">($K$7 + ($K$8-$K$7)*RAND())/100</f>
        <v>1.5919369086308616E-2</v>
      </c>
      <c r="D22">
        <v>0</v>
      </c>
      <c r="E22">
        <v>3.1570081237032744E-5</v>
      </c>
      <c r="F22" s="2">
        <f t="shared" si="1"/>
        <v>1386.1024463803058</v>
      </c>
      <c r="G22" s="2">
        <f t="shared" si="1"/>
        <v>4494.0716593743227</v>
      </c>
      <c r="H22">
        <f>($K$2/1000)*(D23^2 + E23^2)</f>
        <v>1.9118775458619734E-6</v>
      </c>
      <c r="I22">
        <f t="shared" ca="1" si="0"/>
        <v>-34.649757337458865</v>
      </c>
    </row>
    <row r="23" spans="1:9" x14ac:dyDescent="0.3">
      <c r="A23">
        <v>21</v>
      </c>
      <c r="B23">
        <f ca="1">($K$5+($K$6-$K$5)*RAND())/100</f>
        <v>1.2564708235256102E-2</v>
      </c>
      <c r="C23">
        <f ca="1">($K$7 + ($K$8-$K$7)*RAND())/100</f>
        <v>1.5739812272983898E-2</v>
      </c>
      <c r="D23">
        <v>7.0366837743622498E-3</v>
      </c>
      <c r="E23">
        <v>1.2763852078770547E-2</v>
      </c>
      <c r="F23" s="2">
        <f t="shared" si="1"/>
        <v>1386.1094830640802</v>
      </c>
      <c r="G23" s="2">
        <f t="shared" si="1"/>
        <v>4494.0844232264017</v>
      </c>
      <c r="H23">
        <f>($K$2/1000)*(D24^2 + E24^2)</f>
        <v>8.2824130669583691E-7</v>
      </c>
      <c r="I23">
        <f t="shared" ca="1" si="0"/>
        <v>-43.606510647180976</v>
      </c>
    </row>
    <row r="24" spans="1:9" x14ac:dyDescent="0.3">
      <c r="A24">
        <v>22</v>
      </c>
      <c r="B24">
        <f ca="1">($K$5+($K$6-$K$5)*RAND())/100</f>
        <v>1.4549508051960624E-2</v>
      </c>
      <c r="C24">
        <f ca="1">($K$7 + ($K$8-$K$7)*RAND())/100</f>
        <v>1.5713294479394152E-2</v>
      </c>
      <c r="D24">
        <v>7.9426674067619807E-10</v>
      </c>
      <c r="E24">
        <v>9.5930606093724002E-3</v>
      </c>
      <c r="F24" s="2">
        <f t="shared" si="1"/>
        <v>1386.1094830648744</v>
      </c>
      <c r="G24" s="2">
        <f t="shared" si="1"/>
        <v>4494.0940162870111</v>
      </c>
      <c r="H24">
        <f>($K$2/1000)*(D25^2 + E25^2)</f>
        <v>5.9024224092564725E-8</v>
      </c>
      <c r="I24">
        <f t="shared" ca="1" si="0"/>
        <v>-39.019315747571177</v>
      </c>
    </row>
    <row r="25" spans="1:9" x14ac:dyDescent="0.3">
      <c r="A25">
        <v>23</v>
      </c>
      <c r="B25">
        <f ca="1">($K$5+($K$6-$K$5)*RAND())/100</f>
        <v>1.356907824544544E-2</v>
      </c>
      <c r="C25">
        <f ca="1">($K$7 + ($K$8-$K$7)*RAND())/100</f>
        <v>1.5843888428103428E-2</v>
      </c>
      <c r="D25">
        <v>2.5590068194416208E-3</v>
      </c>
      <c r="E25">
        <v>9.864694342634699E-5</v>
      </c>
      <c r="F25" s="2">
        <f t="shared" si="1"/>
        <v>1386.1120420716938</v>
      </c>
      <c r="G25" s="2">
        <f t="shared" si="1"/>
        <v>4494.0941149339542</v>
      </c>
      <c r="H25">
        <f>($K$2/1000)*(D26^2 + E26^2)</f>
        <v>5.6030709922176396E-6</v>
      </c>
      <c r="I25">
        <f t="shared" ca="1" si="0"/>
        <v>-44.934681877603744</v>
      </c>
    </row>
    <row r="26" spans="1:9" x14ac:dyDescent="0.3">
      <c r="A26">
        <v>24</v>
      </c>
      <c r="B26">
        <f ca="1">($K$5+($K$6-$K$5)*RAND())/100</f>
        <v>1.4850592571447791E-2</v>
      </c>
      <c r="C26">
        <f ca="1">($K$7 + ($K$8-$K$7)*RAND())/100</f>
        <v>1.573097090060591E-2</v>
      </c>
      <c r="D26">
        <v>2.4950893429442372E-2</v>
      </c>
      <c r="E26">
        <v>1.2790876571670685E-4</v>
      </c>
      <c r="F26" s="2">
        <f t="shared" si="1"/>
        <v>1386.1369929651232</v>
      </c>
      <c r="G26" s="2">
        <f t="shared" si="1"/>
        <v>4494.0942428427197</v>
      </c>
      <c r="H26">
        <f>($K$2/1000)*(D27^2 + E27^2)</f>
        <v>4.510017351921627E-11</v>
      </c>
      <c r="I26">
        <f t="shared" ca="1" si="0"/>
        <v>-34.157482407008736</v>
      </c>
    </row>
    <row r="27" spans="1:9" x14ac:dyDescent="0.3">
      <c r="A27">
        <v>25</v>
      </c>
      <c r="B27">
        <f ca="1">($K$5+($K$6-$K$5)*RAND())/100</f>
        <v>1.2445887181505027E-2</v>
      </c>
      <c r="C27">
        <f ca="1">($K$7 + ($K$8-$K$7)*RAND())/100</f>
        <v>1.5709494482097415E-2</v>
      </c>
      <c r="D27">
        <v>1.2538022996807219E-8</v>
      </c>
      <c r="E27">
        <v>7.0789337006515389E-5</v>
      </c>
      <c r="F27" s="2">
        <f t="shared" si="1"/>
        <v>1386.1369929776613</v>
      </c>
      <c r="G27" s="2">
        <f t="shared" si="1"/>
        <v>4494.0943136320566</v>
      </c>
      <c r="H27">
        <f>($K$2/1000)*(D28^2 + E28^2)</f>
        <v>3.0391145646108265E-6</v>
      </c>
      <c r="I27">
        <f t="shared" ca="1" si="0"/>
        <v>-38.229412551367865</v>
      </c>
    </row>
    <row r="28" spans="1:9" x14ac:dyDescent="0.3">
      <c r="A28">
        <v>26</v>
      </c>
      <c r="B28">
        <f ca="1">($K$5+($K$6-$K$5)*RAND())/100</f>
        <v>1.3404730401255676E-2</v>
      </c>
      <c r="C28">
        <f ca="1">($K$7 + ($K$8-$K$7)*RAND())/100</f>
        <v>1.5880789953856028E-2</v>
      </c>
      <c r="D28">
        <v>4.567757786183159E-4</v>
      </c>
      <c r="E28">
        <v>1.8370377022694371E-2</v>
      </c>
      <c r="F28" s="2">
        <f t="shared" si="1"/>
        <v>1386.13744975344</v>
      </c>
      <c r="G28" s="2">
        <f t="shared" si="1"/>
        <v>4494.1126840090792</v>
      </c>
      <c r="H28">
        <f>($K$2/1000)*(D29^2 + E29^2)</f>
        <v>1.3160706610874868E-6</v>
      </c>
      <c r="I28">
        <f t="shared" ca="1" si="0"/>
        <v>-37.890867639949292</v>
      </c>
    </row>
    <row r="29" spans="1:9" x14ac:dyDescent="0.3">
      <c r="A29">
        <v>27</v>
      </c>
      <c r="B29">
        <f ca="1">($K$5+($K$6-$K$5)*RAND())/100</f>
        <v>1.3339157391080426E-2</v>
      </c>
      <c r="C29">
        <f ca="1">($K$7 + ($K$8-$K$7)*RAND())/100</f>
        <v>1.5912286598257091E-2</v>
      </c>
      <c r="D29">
        <v>1.2092562733107073E-2</v>
      </c>
      <c r="E29">
        <v>5.9328870687305319E-9</v>
      </c>
      <c r="F29" s="2">
        <f t="shared" si="1"/>
        <v>1386.1495423161732</v>
      </c>
      <c r="G29" s="2">
        <f t="shared" si="1"/>
        <v>4494.1126840150118</v>
      </c>
      <c r="H29">
        <f>($K$2/1000)*(D30^2 + E30^2)</f>
        <v>9.3876056920274543E-17</v>
      </c>
      <c r="I29">
        <f t="shared" ca="1" si="0"/>
        <v>-35.356933740987017</v>
      </c>
    </row>
    <row r="30" spans="1:9" x14ac:dyDescent="0.3">
      <c r="A30">
        <v>28</v>
      </c>
      <c r="B30">
        <f ca="1">($K$5+($K$6-$K$5)*RAND())/100</f>
        <v>1.2741029495873118E-2</v>
      </c>
      <c r="C30">
        <f ca="1">($K$7 + ($K$8-$K$7)*RAND())/100</f>
        <v>1.5801100713573723E-2</v>
      </c>
      <c r="D30">
        <v>1.0213066626210571E-7</v>
      </c>
      <c r="E30">
        <v>0</v>
      </c>
      <c r="F30" s="2">
        <f t="shared" si="1"/>
        <v>1386.1495424183038</v>
      </c>
      <c r="G30" s="2">
        <f t="shared" si="1"/>
        <v>4494.1126840150118</v>
      </c>
      <c r="H30">
        <f>($K$2/1000)*(D31^2 + E31^2)</f>
        <v>6.0715441372395396E-18</v>
      </c>
      <c r="I30">
        <f t="shared" ca="1" si="0"/>
        <v>-34.299262173280077</v>
      </c>
    </row>
    <row r="31" spans="1:9" x14ac:dyDescent="0.3">
      <c r="A31">
        <v>29</v>
      </c>
      <c r="B31">
        <f ca="1">($K$5+($K$6-$K$5)*RAND())/100</f>
        <v>1.2543952640320545E-2</v>
      </c>
      <c r="C31">
        <f ca="1">($K$7 + ($K$8-$K$7)*RAND())/100</f>
        <v>1.5925175329907001E-2</v>
      </c>
      <c r="D31">
        <v>2.5973371272301905E-8</v>
      </c>
      <c r="E31">
        <v>0</v>
      </c>
      <c r="F31" s="2">
        <f t="shared" si="1"/>
        <v>1386.1495424442771</v>
      </c>
      <c r="G31" s="2">
        <f t="shared" si="1"/>
        <v>4494.1126840150118</v>
      </c>
      <c r="H31">
        <f>($K$2/1000)*(D32^2 + E32^2)</f>
        <v>1.6273950752483009E-9</v>
      </c>
      <c r="I31">
        <f t="shared" ca="1" si="0"/>
        <v>-40.937097358920184</v>
      </c>
    </row>
    <row r="32" spans="1:9" x14ac:dyDescent="0.3">
      <c r="A32">
        <v>30</v>
      </c>
      <c r="B32">
        <f ca="1">($K$5+($K$6-$K$5)*RAND())/100</f>
        <v>1.3953528074282956E-2</v>
      </c>
      <c r="C32">
        <f ca="1">($K$7 + ($K$8-$K$7)*RAND())/100</f>
        <v>1.5706550362812724E-2</v>
      </c>
      <c r="D32">
        <v>4.2523131943400993E-4</v>
      </c>
      <c r="E32">
        <v>0</v>
      </c>
      <c r="F32" s="2">
        <f t="shared" si="1"/>
        <v>1386.1499676755966</v>
      </c>
      <c r="G32" s="2">
        <f t="shared" si="1"/>
        <v>4494.1126840150118</v>
      </c>
      <c r="H32">
        <f>($K$2/1000)*(D33^2 + E33^2)</f>
        <v>4.1312335747092346E-6</v>
      </c>
      <c r="I32">
        <f t="shared" ca="1" si="0"/>
        <v>-45.468612913817104</v>
      </c>
    </row>
    <row r="33" spans="1:9" x14ac:dyDescent="0.3">
      <c r="A33">
        <v>31</v>
      </c>
      <c r="B33">
        <f ca="1">($K$5+($K$6-$K$5)*RAND())/100</f>
        <v>1.5066425278875915E-2</v>
      </c>
      <c r="C33">
        <f ca="1">($K$7 + ($K$8-$K$7)*RAND())/100</f>
        <v>1.6045802494288899E-2</v>
      </c>
      <c r="D33">
        <v>2.0560019175231078E-3</v>
      </c>
      <c r="E33">
        <v>2.1326012493211473E-2</v>
      </c>
      <c r="F33" s="2">
        <f t="shared" si="1"/>
        <v>1386.1520236775141</v>
      </c>
      <c r="G33" s="2">
        <f t="shared" si="1"/>
        <v>4494.1340100275047</v>
      </c>
      <c r="H33">
        <f>($K$2/1000)*(D34^2 + E34^2)</f>
        <v>2.574709830238596E-7</v>
      </c>
      <c r="I33">
        <f t="shared" ca="1" si="0"/>
        <v>-35.119938293773991</v>
      </c>
    </row>
    <row r="34" spans="1:9" x14ac:dyDescent="0.3">
      <c r="A34">
        <v>32</v>
      </c>
      <c r="B34">
        <f ca="1">($K$5+($K$6-$K$5)*RAND())/100</f>
        <v>1.2711836372599636E-2</v>
      </c>
      <c r="C34">
        <f ca="1">($K$7 + ($K$8-$K$7)*RAND())/100</f>
        <v>1.5877642803253607E-2</v>
      </c>
      <c r="D34">
        <v>0</v>
      </c>
      <c r="E34">
        <v>5.3486341249566758E-3</v>
      </c>
      <c r="F34" s="2">
        <f t="shared" si="1"/>
        <v>1386.1520236775141</v>
      </c>
      <c r="G34" s="2">
        <f t="shared" si="1"/>
        <v>4494.1393586616296</v>
      </c>
      <c r="H34">
        <f>($K$2/1000)*(D35^2 + E35^2)</f>
        <v>8.3376618974297413E-7</v>
      </c>
      <c r="I34">
        <f t="shared" ca="1" si="0"/>
        <v>-38.407618168683939</v>
      </c>
    </row>
    <row r="35" spans="1:9" x14ac:dyDescent="0.3">
      <c r="A35">
        <v>33</v>
      </c>
      <c r="B35">
        <f ca="1">($K$5+($K$6-$K$5)*RAND())/100</f>
        <v>1.3441682445707178E-2</v>
      </c>
      <c r="C35">
        <f ca="1">($K$7 + ($K$8-$K$7)*RAND())/100</f>
        <v>1.5872013320619553E-2</v>
      </c>
      <c r="D35">
        <v>9.6249923246766074E-3</v>
      </c>
      <c r="E35">
        <v>1.4508588344627021E-5</v>
      </c>
      <c r="F35" s="2">
        <f t="shared" si="1"/>
        <v>1386.1616486698388</v>
      </c>
      <c r="G35" s="2">
        <f t="shared" si="1"/>
        <v>4494.1393731702183</v>
      </c>
      <c r="H35">
        <f>($K$2/1000)*(D36^2 + E36^2)</f>
        <v>1.2564802064101697E-18</v>
      </c>
      <c r="I35">
        <f t="shared" ca="1" si="0"/>
        <v>-39.545145011640727</v>
      </c>
    </row>
    <row r="36" spans="1:9" x14ac:dyDescent="0.3">
      <c r="A36">
        <v>34</v>
      </c>
      <c r="B36">
        <f ca="1">($K$5+($K$6-$K$5)*RAND())/100</f>
        <v>1.3722970273553032E-2</v>
      </c>
      <c r="C36">
        <f ca="1">($K$7 + ($K$8-$K$7)*RAND())/100</f>
        <v>1.596335898721845E-2</v>
      </c>
      <c r="D36">
        <v>0</v>
      </c>
      <c r="E36">
        <v>1.1815621516592015E-8</v>
      </c>
      <c r="F36" s="2">
        <f t="shared" si="1"/>
        <v>1386.1616486698388</v>
      </c>
      <c r="G36" s="2">
        <f t="shared" si="1"/>
        <v>4494.1393731820335</v>
      </c>
      <c r="H36">
        <f>($K$2/1000)*(D37^2 + E37^2)</f>
        <v>2.9064221827808434E-10</v>
      </c>
      <c r="I36">
        <f t="shared" ca="1" si="0"/>
        <v>-34.312999007512275</v>
      </c>
    </row>
    <row r="37" spans="1:9" x14ac:dyDescent="0.3">
      <c r="A37">
        <v>35</v>
      </c>
      <c r="B37">
        <f ca="1">($K$5+($K$6-$K$5)*RAND())/100</f>
        <v>1.248261275155039E-2</v>
      </c>
      <c r="C37">
        <f ca="1">($K$7 + ($K$8-$K$7)*RAND())/100</f>
        <v>1.5716494011002505E-2</v>
      </c>
      <c r="D37">
        <v>1.790941736278966E-4</v>
      </c>
      <c r="E37">
        <v>1.4793808881314558E-5</v>
      </c>
      <c r="F37" s="2">
        <f t="shared" si="1"/>
        <v>1386.1618277640123</v>
      </c>
      <c r="G37" s="2">
        <f t="shared" si="1"/>
        <v>4494.1393879758425</v>
      </c>
      <c r="H37">
        <f>($K$2/1000)*(D38^2 + E38^2)</f>
        <v>1.4402535387462909E-6</v>
      </c>
      <c r="I37">
        <f t="shared" ca="1" si="0"/>
        <v>-34.487411055965154</v>
      </c>
    </row>
    <row r="38" spans="1:9" x14ac:dyDescent="0.3">
      <c r="A38">
        <v>36</v>
      </c>
      <c r="B38">
        <f ca="1">($K$5+($K$6-$K$5)*RAND())/100</f>
        <v>1.2622814044284747E-2</v>
      </c>
      <c r="C38">
        <f ca="1">($K$7 + ($K$8-$K$7)*RAND())/100</f>
        <v>1.6045076704323206E-2</v>
      </c>
      <c r="D38">
        <v>1.264992801718187E-2</v>
      </c>
      <c r="E38">
        <v>8.655710211930122E-5</v>
      </c>
      <c r="F38" s="2">
        <f t="shared" si="1"/>
        <v>1386.1744776920295</v>
      </c>
      <c r="G38" s="2">
        <f t="shared" si="1"/>
        <v>4494.1394745329444</v>
      </c>
      <c r="H38">
        <f>($K$2/1000)*(D39^2 + E39^2)</f>
        <v>4.3761483635357304E-18</v>
      </c>
      <c r="I38">
        <f t="shared" ca="1" si="0"/>
        <v>-34.924489459598448</v>
      </c>
    </row>
    <row r="39" spans="1:9" x14ac:dyDescent="0.3">
      <c r="A39">
        <v>37</v>
      </c>
      <c r="B39">
        <f ca="1">($K$5+($K$6-$K$5)*RAND())/100</f>
        <v>1.2723074608457735E-2</v>
      </c>
      <c r="C39">
        <f ca="1">($K$7 + ($K$8-$K$7)*RAND())/100</f>
        <v>1.6054820597378377E-2</v>
      </c>
      <c r="D39">
        <v>2.2050821006473333E-8</v>
      </c>
      <c r="E39">
        <v>0</v>
      </c>
      <c r="F39" s="2">
        <f t="shared" si="1"/>
        <v>1386.1744777140805</v>
      </c>
      <c r="G39" s="2">
        <f t="shared" si="1"/>
        <v>4494.1394745329444</v>
      </c>
      <c r="H39">
        <f>($K$2/1000)*(D40^2 + E40^2)</f>
        <v>1.8066498760291635E-7</v>
      </c>
      <c r="I39">
        <f t="shared" ca="1" si="0"/>
        <v>-35.251788366172747</v>
      </c>
    </row>
    <row r="40" spans="1:9" x14ac:dyDescent="0.3">
      <c r="A40">
        <v>38</v>
      </c>
      <c r="B40">
        <f ca="1">($K$5+($K$6-$K$5)*RAND())/100</f>
        <v>1.2737823075867896E-2</v>
      </c>
      <c r="C40">
        <f ca="1">($K$7 + ($K$8-$K$7)*RAND())/100</f>
        <v>1.5866561217734509E-2</v>
      </c>
      <c r="D40">
        <v>0</v>
      </c>
      <c r="E40">
        <v>4.4803892142798434E-3</v>
      </c>
      <c r="F40" s="2">
        <f t="shared" si="1"/>
        <v>1386.1744777140805</v>
      </c>
      <c r="G40" s="2">
        <f t="shared" si="1"/>
        <v>4494.1439549221586</v>
      </c>
      <c r="H40">
        <f>($K$2/1000)*(D41^2 + E41^2)</f>
        <v>4.6877266865052575E-12</v>
      </c>
      <c r="I40">
        <f t="shared" ca="1" si="0"/>
        <v>-37.831474904730044</v>
      </c>
    </row>
    <row r="41" spans="1:9" x14ac:dyDescent="0.3">
      <c r="A41">
        <v>39</v>
      </c>
      <c r="B41">
        <f ca="1">($K$5+($K$6-$K$5)*RAND())/100</f>
        <v>1.3358656669850179E-2</v>
      </c>
      <c r="C41">
        <f ca="1">($K$7 + ($K$8-$K$7)*RAND())/100</f>
        <v>1.6018367006206916E-2</v>
      </c>
      <c r="D41">
        <v>1.0734562035850108E-8</v>
      </c>
      <c r="E41">
        <v>2.2822322526245755E-5</v>
      </c>
      <c r="F41" s="2">
        <f t="shared" si="1"/>
        <v>1386.174477724815</v>
      </c>
      <c r="G41" s="2">
        <f t="shared" si="1"/>
        <v>4494.1439777444812</v>
      </c>
      <c r="H41">
        <f>($K$2/1000)*(D42^2 + E42^2)</f>
        <v>7.4415324353383554E-18</v>
      </c>
      <c r="I41">
        <f t="shared" ca="1" si="0"/>
        <v>-47.072306314188388</v>
      </c>
    </row>
    <row r="42" spans="1:9" x14ac:dyDescent="0.3">
      <c r="A42">
        <v>40</v>
      </c>
      <c r="B42">
        <f ca="1">($K$5+($K$6-$K$5)*RAND())/100</f>
        <v>1.5344431871092766E-2</v>
      </c>
      <c r="C42">
        <f ca="1">($K$7 + ($K$8-$K$7)*RAND())/100</f>
        <v>1.579006317668526E-2</v>
      </c>
      <c r="D42">
        <v>0</v>
      </c>
      <c r="E42">
        <v>2.8754772425804682E-8</v>
      </c>
      <c r="F42" s="2">
        <f t="shared" si="1"/>
        <v>1386.174477724815</v>
      </c>
      <c r="G42" s="2">
        <f t="shared" si="1"/>
        <v>4494.1439777732357</v>
      </c>
      <c r="H42">
        <f>($K$2/1000)*(D43^2 + E43^2)</f>
        <v>2.8055486530017536E-6</v>
      </c>
      <c r="I42">
        <f t="shared" ca="1" si="0"/>
        <v>-42.068513345680415</v>
      </c>
    </row>
    <row r="43" spans="1:9" x14ac:dyDescent="0.3">
      <c r="A43">
        <v>41</v>
      </c>
      <c r="B43">
        <f ca="1">($K$5+($K$6-$K$5)*RAND())/100</f>
        <v>1.4221181247080807E-2</v>
      </c>
      <c r="C43">
        <f ca="1">($K$7 + ($K$8-$K$7)*RAND())/100</f>
        <v>1.5757932963987743E-2</v>
      </c>
      <c r="D43">
        <v>1.7655810037327302E-2</v>
      </c>
      <c r="E43">
        <v>1.9266152137794781E-7</v>
      </c>
      <c r="F43" s="2">
        <f t="shared" si="1"/>
        <v>1386.1921335348522</v>
      </c>
      <c r="G43" s="2">
        <f t="shared" si="1"/>
        <v>4494.1439779658976</v>
      </c>
      <c r="H43">
        <f>($K$2/1000)*(D44^2 + E44^2)</f>
        <v>7.2316423917885902E-18</v>
      </c>
      <c r="I43">
        <f t="shared" ca="1" si="0"/>
        <v>-34.133138063516014</v>
      </c>
    </row>
    <row r="44" spans="1:9" x14ac:dyDescent="0.3">
      <c r="A44">
        <v>42</v>
      </c>
      <c r="B44">
        <f ca="1">($K$5+($K$6-$K$5)*RAND())/100</f>
        <v>1.2539100634343157E-2</v>
      </c>
      <c r="C44">
        <f ca="1">($K$7 + ($K$8-$K$7)*RAND())/100</f>
        <v>1.6029081326104196E-2</v>
      </c>
      <c r="D44">
        <v>0</v>
      </c>
      <c r="E44">
        <v>2.8346354638821609E-8</v>
      </c>
      <c r="F44" s="2">
        <f t="shared" si="1"/>
        <v>1386.1921335348522</v>
      </c>
      <c r="G44" s="2">
        <f t="shared" si="1"/>
        <v>4494.1439779942439</v>
      </c>
      <c r="H44">
        <f>($K$2/1000)*(D45^2 + E45^2)</f>
        <v>9.0025494345249497E-7</v>
      </c>
      <c r="I44">
        <f t="shared" ca="1" si="0"/>
        <v>-42.210320938246944</v>
      </c>
    </row>
    <row r="45" spans="1:9" x14ac:dyDescent="0.3">
      <c r="A45">
        <v>43</v>
      </c>
      <c r="B45">
        <f ca="1">($K$5+($K$6-$K$5)*RAND())/100</f>
        <v>1.4254421088903336E-2</v>
      </c>
      <c r="C45">
        <f ca="1">($K$7 + ($K$8-$K$7)*RAND())/100</f>
        <v>1.5763503627698995E-2</v>
      </c>
      <c r="D45">
        <v>1.2699792731588586E-7</v>
      </c>
      <c r="E45">
        <v>1.0001416251419034E-2</v>
      </c>
      <c r="F45" s="2">
        <f t="shared" si="1"/>
        <v>1386.1921336618502</v>
      </c>
      <c r="G45" s="2">
        <f t="shared" si="1"/>
        <v>4494.1539794104956</v>
      </c>
      <c r="H45">
        <f>($K$2/1000)*(D46^2 + E46^2)</f>
        <v>2.4050255073418504E-6</v>
      </c>
      <c r="I45">
        <f t="shared" ca="1" si="0"/>
        <v>-38.737262267339773</v>
      </c>
    </row>
    <row r="46" spans="1:9" x14ac:dyDescent="0.3">
      <c r="A46">
        <v>44</v>
      </c>
      <c r="B46">
        <f ca="1">($K$5+($K$6-$K$5)*RAND())/100</f>
        <v>1.3579683558303628E-2</v>
      </c>
      <c r="C46">
        <f ca="1">($K$7 + ($K$8-$K$7)*RAND())/100</f>
        <v>1.6081223095933579E-2</v>
      </c>
      <c r="D46">
        <v>1.6346953999582543E-2</v>
      </c>
      <c r="E46">
        <v>4.6382182452737933E-5</v>
      </c>
      <c r="F46" s="2">
        <f t="shared" si="1"/>
        <v>1386.2084806158498</v>
      </c>
      <c r="G46" s="2">
        <f t="shared" si="1"/>
        <v>4494.1540257926781</v>
      </c>
      <c r="H46">
        <f>($K$2/1000)*(D47^2 + E47^2)</f>
        <v>5.6905747725429146E-7</v>
      </c>
      <c r="I46">
        <f t="shared" ca="1" si="0"/>
        <v>-47.464677257098984</v>
      </c>
    </row>
    <row r="47" spans="1:9" x14ac:dyDescent="0.3">
      <c r="A47">
        <v>45</v>
      </c>
      <c r="B47">
        <f ca="1">($K$5+($K$6-$K$5)*RAND())/100</f>
        <v>1.5420972235492601E-2</v>
      </c>
      <c r="C47">
        <f ca="1">($K$7 + ($K$8-$K$7)*RAND())/100</f>
        <v>1.5754910736587982E-2</v>
      </c>
      <c r="D47">
        <v>4.0036766437224671E-3</v>
      </c>
      <c r="E47">
        <v>6.8701660763275125E-3</v>
      </c>
      <c r="F47" s="2">
        <f t="shared" si="1"/>
        <v>1386.2124842924936</v>
      </c>
      <c r="G47" s="2">
        <f t="shared" si="1"/>
        <v>4494.1608959587547</v>
      </c>
      <c r="H47">
        <f>($K$2/1000)*(D48^2 + E48^2)</f>
        <v>8.1065458022257168E-7</v>
      </c>
      <c r="I47">
        <f t="shared" ca="1" si="0"/>
        <v>-41.368494554394033</v>
      </c>
    </row>
    <row r="48" spans="1:9" x14ac:dyDescent="0.3">
      <c r="A48">
        <v>46</v>
      </c>
      <c r="B48">
        <f ca="1">($K$5+($K$6-$K$5)*RAND())/100</f>
        <v>1.4059294854525197E-2</v>
      </c>
      <c r="C48">
        <f ca="1">($K$7 + ($K$8-$K$7)*RAND())/100</f>
        <v>1.5737911387697298E-2</v>
      </c>
      <c r="D48">
        <v>9.4906654738137995E-3</v>
      </c>
      <c r="E48">
        <v>0</v>
      </c>
      <c r="F48" s="2">
        <f t="shared" si="1"/>
        <v>1386.2219749579674</v>
      </c>
      <c r="G48" s="2">
        <f t="shared" si="1"/>
        <v>4494.1608959587547</v>
      </c>
      <c r="H48">
        <f>($K$2/1000)*(D49^2 + E49^2)</f>
        <v>4.534176617964344E-17</v>
      </c>
      <c r="I48">
        <f t="shared" ca="1" si="0"/>
        <v>-33.999281504819635</v>
      </c>
    </row>
    <row r="49" spans="1:9" x14ac:dyDescent="0.3">
      <c r="A49">
        <v>47</v>
      </c>
      <c r="B49">
        <f ca="1">($K$5+($K$6-$K$5)*RAND())/100</f>
        <v>1.2498530393560534E-2</v>
      </c>
      <c r="C49">
        <f ca="1">($K$7 + ($K$8-$K$7)*RAND())/100</f>
        <v>1.5993921209119567E-2</v>
      </c>
      <c r="D49">
        <v>7.0647004508186812E-8</v>
      </c>
      <c r="E49">
        <v>6.8538145569175553E-9</v>
      </c>
      <c r="F49" s="2">
        <f t="shared" si="1"/>
        <v>1386.2219750286145</v>
      </c>
      <c r="G49" s="2">
        <f t="shared" si="1"/>
        <v>4494.1608959656087</v>
      </c>
      <c r="H49">
        <f>($K$2/1000)*(D50^2 + E50^2)</f>
        <v>0</v>
      </c>
      <c r="I49">
        <f t="shared" ca="1" si="0"/>
        <v>-41.824681247365277</v>
      </c>
    </row>
    <row r="50" spans="1:9" x14ac:dyDescent="0.3">
      <c r="A50">
        <v>48</v>
      </c>
      <c r="B50">
        <f ca="1">($K$5+($K$6-$K$5)*RAND())/100</f>
        <v>1.416653087087532E-2</v>
      </c>
      <c r="C50">
        <f ca="1">($K$7 + ($K$8-$K$7)*RAND())/100</f>
        <v>1.5756486491682792E-2</v>
      </c>
      <c r="D50">
        <v>0</v>
      </c>
      <c r="E50">
        <v>0</v>
      </c>
      <c r="F50" s="2">
        <f t="shared" si="1"/>
        <v>1386.2219750286145</v>
      </c>
      <c r="G50" s="2">
        <f t="shared" si="1"/>
        <v>4494.1608959656087</v>
      </c>
      <c r="H50">
        <f>($K$2/1000)*(D51^2 + E51^2)</f>
        <v>0</v>
      </c>
      <c r="I50">
        <f t="shared" si="0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771A-F53B-407C-8BE5-5329CC0E8013}">
  <dimension ref="A1:K50"/>
  <sheetViews>
    <sheetView tabSelected="1" topLeftCell="I4" workbookViewId="0">
      <selection activeCell="K29" sqref="K29"/>
    </sheetView>
  </sheetViews>
  <sheetFormatPr defaultRowHeight="14.4" x14ac:dyDescent="0.3"/>
  <cols>
    <col min="6" max="7" width="16.664062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0</v>
      </c>
    </row>
    <row r="2" spans="1:11" x14ac:dyDescent="0.3">
      <c r="A2">
        <v>0</v>
      </c>
      <c r="B2">
        <f ca="1">($K$5+($K$6-$K$5)*RAND())/100</f>
        <v>1.4993965924924902E-2</v>
      </c>
      <c r="C2">
        <f ca="1">($K$7 + ($K$8-$K$7)*RAND())/100</f>
        <v>1.5805670205311248E-2</v>
      </c>
      <c r="D2">
        <v>8.4606531244105258E-9</v>
      </c>
      <c r="E2">
        <v>1.4364233638723928E-8</v>
      </c>
      <c r="F2" s="4">
        <f>$K$4</f>
        <v>1386</v>
      </c>
      <c r="G2" s="4">
        <f>$K$3</f>
        <v>4494</v>
      </c>
      <c r="H2">
        <f>($K$2/1000)*(D3^2 + E3^2)</f>
        <v>7.8163597841377004E-19</v>
      </c>
      <c r="I2">
        <f ca="1">C3*F3 - B3*G3 - H3</f>
        <v>-35.209856453409316</v>
      </c>
      <c r="J2" t="s">
        <v>1</v>
      </c>
      <c r="K2">
        <v>9</v>
      </c>
    </row>
    <row r="3" spans="1:11" x14ac:dyDescent="0.3">
      <c r="A3">
        <v>1</v>
      </c>
      <c r="B3">
        <f ca="1">($K$5+($K$6-$K$5)*RAND())/100</f>
        <v>1.2743988381500197E-2</v>
      </c>
      <c r="C3">
        <f ca="1">($K$7 + ($K$8-$K$7)*RAND())/100</f>
        <v>1.5917480038324293E-2</v>
      </c>
      <c r="D3">
        <v>2.9896599581799566E-9</v>
      </c>
      <c r="E3">
        <v>8.8266854130205566E-9</v>
      </c>
      <c r="F3" s="4">
        <f>F2 + D3</f>
        <v>1386.0000000029897</v>
      </c>
      <c r="G3" s="4">
        <f>G2 + E3</f>
        <v>4494.0000000088266</v>
      </c>
      <c r="H3">
        <f>($K$2/1000)*(D4^2 + E4^2)</f>
        <v>1.5293611002877235E-18</v>
      </c>
      <c r="I3">
        <f t="shared" ref="I3:I50" ca="1" si="0">C4*F4 - B4*G4 - H4</f>
        <v>-45.666799887761286</v>
      </c>
      <c r="J3" t="s">
        <v>2</v>
      </c>
      <c r="K3">
        <v>4494</v>
      </c>
    </row>
    <row r="4" spans="1:11" x14ac:dyDescent="0.3">
      <c r="A4">
        <v>2</v>
      </c>
      <c r="B4">
        <f ca="1">($K$5+($K$6-$K$5)*RAND())/100</f>
        <v>1.5066006144409934E-2</v>
      </c>
      <c r="C4">
        <f ca="1">($K$7 + ($K$8-$K$7)*RAND())/100</f>
        <v>1.5901754491507738E-2</v>
      </c>
      <c r="D4">
        <v>1.1079031633783556E-8</v>
      </c>
      <c r="E4">
        <v>6.8690661083369736E-9</v>
      </c>
      <c r="F4" s="4">
        <f t="shared" ref="F4:G50" si="1">F3 + D4</f>
        <v>1386.0000000140687</v>
      </c>
      <c r="G4" s="4">
        <f t="shared" si="1"/>
        <v>4494.0000000156961</v>
      </c>
      <c r="H4">
        <f>($K$2/1000)*(D5^2 + E5^2)</f>
        <v>9.2956672004874688E-19</v>
      </c>
      <c r="I4">
        <f t="shared" ca="1" si="0"/>
        <v>-46.155941898650141</v>
      </c>
      <c r="J4" t="s">
        <v>3</v>
      </c>
      <c r="K4">
        <v>1386</v>
      </c>
    </row>
    <row r="5" spans="1:11" x14ac:dyDescent="0.3">
      <c r="A5">
        <v>3</v>
      </c>
      <c r="B5">
        <f ca="1">($K$5+($K$6-$K$5)*RAND())/100</f>
        <v>1.5121948277433657E-2</v>
      </c>
      <c r="C5">
        <f ca="1">($K$7 + ($K$8-$K$7)*RAND())/100</f>
        <v>1.5730226305999587E-2</v>
      </c>
      <c r="D5">
        <v>8.1763123931039394E-9</v>
      </c>
      <c r="E5">
        <v>6.0359843246070791E-9</v>
      </c>
      <c r="F5" s="4">
        <f t="shared" si="1"/>
        <v>1386.0000000222451</v>
      </c>
      <c r="G5" s="4">
        <f t="shared" si="1"/>
        <v>4494.0000000217324</v>
      </c>
      <c r="H5">
        <f>($K$2/1000)*(D6^2 + E6^2)</f>
        <v>2.2597676022922968E-19</v>
      </c>
      <c r="I5">
        <f t="shared" ca="1" si="0"/>
        <v>-44.66792677557811</v>
      </c>
      <c r="J5" t="s">
        <v>4</v>
      </c>
      <c r="K5">
        <v>1.24</v>
      </c>
    </row>
    <row r="6" spans="1:11" x14ac:dyDescent="0.3">
      <c r="A6">
        <v>4</v>
      </c>
      <c r="B6">
        <f ca="1">($K$5+($K$6-$K$5)*RAND())/100</f>
        <v>1.4859067807874946E-2</v>
      </c>
      <c r="C6">
        <f ca="1">($K$7 + ($K$8-$K$7)*RAND())/100</f>
        <v>1.5951460283477797E-2</v>
      </c>
      <c r="D6">
        <v>5.0108266018783174E-9</v>
      </c>
      <c r="E6">
        <v>1.2069808095034783E-11</v>
      </c>
      <c r="F6" s="4">
        <f t="shared" si="1"/>
        <v>1386.000000027256</v>
      </c>
      <c r="G6" s="4">
        <f t="shared" si="1"/>
        <v>4494.0000000217442</v>
      </c>
      <c r="H6">
        <f>($K$2/1000)*(D7^2 + E7^2)</f>
        <v>1.3292468189335907E-18</v>
      </c>
      <c r="I6">
        <f t="shared" ca="1" si="0"/>
        <v>-34.772851383984261</v>
      </c>
      <c r="J6" t="s">
        <v>5</v>
      </c>
      <c r="K6">
        <v>1.56</v>
      </c>
    </row>
    <row r="7" spans="1:11" x14ac:dyDescent="0.3">
      <c r="A7">
        <v>5</v>
      </c>
      <c r="B7">
        <f ca="1">($K$5+($K$6-$K$5)*RAND())/100</f>
        <v>1.2586402773738238E-2</v>
      </c>
      <c r="C7">
        <f ca="1">($K$7 + ($K$8-$K$7)*RAND())/100</f>
        <v>1.57218201161709E-2</v>
      </c>
      <c r="D7">
        <v>8.6196866554191818E-9</v>
      </c>
      <c r="E7">
        <v>8.5670936118971931E-9</v>
      </c>
      <c r="F7" s="4">
        <f t="shared" si="1"/>
        <v>1386.0000000358757</v>
      </c>
      <c r="G7" s="4">
        <f t="shared" si="1"/>
        <v>4494.0000000303116</v>
      </c>
      <c r="H7">
        <f>($K$2/1000)*(D8^2 + E8^2)</f>
        <v>1.7792499465424093E-18</v>
      </c>
      <c r="I7">
        <f t="shared" ca="1" si="0"/>
        <v>-36.953743605622059</v>
      </c>
      <c r="J7" t="s">
        <v>6</v>
      </c>
      <c r="K7">
        <v>1.57</v>
      </c>
    </row>
    <row r="8" spans="1:11" x14ac:dyDescent="0.3">
      <c r="A8">
        <v>6</v>
      </c>
      <c r="B8">
        <f ca="1">($K$5+($K$6-$K$5)*RAND())/100</f>
        <v>1.3119169437262606E-2</v>
      </c>
      <c r="C8">
        <f ca="1">($K$7 + ($K$8-$K$7)*RAND())/100</f>
        <v>1.587576035015301E-2</v>
      </c>
      <c r="D8">
        <v>7.0414540563173247E-9</v>
      </c>
      <c r="E8">
        <v>1.2170142286657312E-8</v>
      </c>
      <c r="F8" s="4">
        <f t="shared" si="1"/>
        <v>1386.0000000429172</v>
      </c>
      <c r="G8" s="4">
        <f t="shared" si="1"/>
        <v>4494.0000000424816</v>
      </c>
      <c r="H8">
        <f>($K$2/1000)*(D9^2 + E9^2)</f>
        <v>5.3890112617598352E-19</v>
      </c>
      <c r="I8">
        <f t="shared" ca="1" si="0"/>
        <v>-42.979808943976408</v>
      </c>
      <c r="J8" t="s">
        <v>7</v>
      </c>
      <c r="K8">
        <v>1.61</v>
      </c>
    </row>
    <row r="9" spans="1:11" x14ac:dyDescent="0.3">
      <c r="A9">
        <v>7</v>
      </c>
      <c r="B9">
        <f ca="1">($K$5+($K$6-$K$5)*RAND())/100</f>
        <v>1.4466273736955384E-2</v>
      </c>
      <c r="C9">
        <f ca="1">($K$7 + ($K$8-$K$7)*RAND())/100</f>
        <v>1.5895833499188161E-2</v>
      </c>
      <c r="D9">
        <v>3.6216031789824889E-9</v>
      </c>
      <c r="E9">
        <v>6.8382668361527505E-9</v>
      </c>
      <c r="F9" s="4">
        <f t="shared" si="1"/>
        <v>1386.0000000465388</v>
      </c>
      <c r="G9" s="4">
        <f t="shared" si="1"/>
        <v>4494.0000000493201</v>
      </c>
      <c r="H9">
        <f>($K$2/1000)*(D10^2 + E10^2)</f>
        <v>1.2289308734297142E-18</v>
      </c>
      <c r="I9">
        <f t="shared" ca="1" si="0"/>
        <v>-36.100286499524046</v>
      </c>
    </row>
    <row r="10" spans="1:11" x14ac:dyDescent="0.3">
      <c r="A10">
        <v>8</v>
      </c>
      <c r="B10">
        <f ca="1">($K$5+($K$6-$K$5)*RAND())/100</f>
        <v>1.291977314493181E-2</v>
      </c>
      <c r="C10">
        <f ca="1">($K$7 + ($K$8-$K$7)*RAND())/100</f>
        <v>1.584500289594952E-2</v>
      </c>
      <c r="D10">
        <v>3.5932265599709949E-9</v>
      </c>
      <c r="E10">
        <v>1.1119199508698584E-8</v>
      </c>
      <c r="F10" s="4">
        <f t="shared" si="1"/>
        <v>1386.000000050132</v>
      </c>
      <c r="G10" s="4">
        <f t="shared" si="1"/>
        <v>4494.0000000604396</v>
      </c>
      <c r="H10">
        <f>($K$2/1000)*(D11^2 + E11^2)</f>
        <v>2.6466371438451503E-19</v>
      </c>
      <c r="I10">
        <f t="shared" ca="1" si="0"/>
        <v>-41.105292322200157</v>
      </c>
      <c r="K10" t="s">
        <v>17</v>
      </c>
    </row>
    <row r="11" spans="1:11" x14ac:dyDescent="0.3">
      <c r="A11">
        <v>9</v>
      </c>
      <c r="B11">
        <f ca="1">($K$5+($K$6-$K$5)*RAND())/100</f>
        <v>1.4059158031439391E-2</v>
      </c>
      <c r="C11">
        <f ca="1">($K$7 + ($K$8-$K$7)*RAND())/100</f>
        <v>1.5928256761322403E-2</v>
      </c>
      <c r="D11">
        <v>1.3076270427802845E-9</v>
      </c>
      <c r="E11">
        <v>5.2628120708464331E-9</v>
      </c>
      <c r="F11" s="4">
        <f t="shared" si="1"/>
        <v>1386.0000000514397</v>
      </c>
      <c r="G11" s="4">
        <f t="shared" si="1"/>
        <v>4494.0000000657028</v>
      </c>
      <c r="H11">
        <f>($K$2/1000)*(D12^2 + E12^2)</f>
        <v>3.5852394455191019E-18</v>
      </c>
      <c r="I11">
        <f t="shared" ca="1" si="0"/>
        <v>-38.152904474524348</v>
      </c>
      <c r="K11">
        <f ca="1">SUM(I3:I50)</f>
        <v>-1939.1168181245198</v>
      </c>
    </row>
    <row r="12" spans="1:11" x14ac:dyDescent="0.3">
      <c r="A12">
        <v>10</v>
      </c>
      <c r="B12">
        <f ca="1">($K$5+($K$6-$K$5)*RAND())/100</f>
        <v>1.3415950382911051E-2</v>
      </c>
      <c r="C12">
        <f ca="1">($K$7 + ($K$8-$K$7)*RAND())/100</f>
        <v>1.5972854651045459E-2</v>
      </c>
      <c r="D12">
        <v>1.2418506890565039E-8</v>
      </c>
      <c r="E12">
        <v>1.5624999999999999E-8</v>
      </c>
      <c r="F12" s="4">
        <f t="shared" si="1"/>
        <v>1386.0000000638581</v>
      </c>
      <c r="G12" s="4">
        <f t="shared" si="1"/>
        <v>4494.0000000813279</v>
      </c>
      <c r="H12">
        <f>($K$2/1000)*(D13^2 + E13^2)</f>
        <v>1.2193514565239461E-18</v>
      </c>
      <c r="I12">
        <f t="shared" ca="1" si="0"/>
        <v>-39.768554549186092</v>
      </c>
    </row>
    <row r="13" spans="1:11" x14ac:dyDescent="0.3">
      <c r="A13">
        <v>11</v>
      </c>
      <c r="B13">
        <f ca="1">($K$5+($K$6-$K$5)*RAND())/100</f>
        <v>1.3794084494425478E-2</v>
      </c>
      <c r="C13">
        <f ca="1">($K$7 + ($K$8-$K$7)*RAND())/100</f>
        <v>1.603323316654779E-2</v>
      </c>
      <c r="D13">
        <v>8.4403181348657409E-9</v>
      </c>
      <c r="E13">
        <v>8.0152682395278484E-9</v>
      </c>
      <c r="F13" s="4">
        <f t="shared" si="1"/>
        <v>1386.0000000722985</v>
      </c>
      <c r="G13" s="4">
        <f t="shared" si="1"/>
        <v>4494.0000000893433</v>
      </c>
      <c r="H13">
        <f>($K$2/1000)*(D14^2 + E14^2)</f>
        <v>2.799284478132647E-19</v>
      </c>
      <c r="I13">
        <f t="shared" ca="1" si="0"/>
        <v>-48.019781300599668</v>
      </c>
    </row>
    <row r="14" spans="1:11" x14ac:dyDescent="0.3">
      <c r="A14">
        <v>12</v>
      </c>
      <c r="B14">
        <f ca="1">($K$5+($K$6-$K$5)*RAND())/100</f>
        <v>1.5589216300928807E-2</v>
      </c>
      <c r="C14">
        <f ca="1">($K$7 + ($K$8-$K$7)*RAND())/100</f>
        <v>1.5900545999985142E-2</v>
      </c>
      <c r="D14">
        <v>4.9399412156691527E-9</v>
      </c>
      <c r="E14">
        <v>2.5884631837972322E-9</v>
      </c>
      <c r="F14" s="4">
        <f t="shared" si="1"/>
        <v>1386.0000000772384</v>
      </c>
      <c r="G14" s="4">
        <f t="shared" si="1"/>
        <v>4494.0000000919317</v>
      </c>
      <c r="H14">
        <f>($K$2/1000)*(D15^2 + E15^2)</f>
        <v>1.1615933101835328E-18</v>
      </c>
      <c r="I14">
        <f t="shared" ca="1" si="0"/>
        <v>-36.527778113568715</v>
      </c>
    </row>
    <row r="15" spans="1:11" x14ac:dyDescent="0.3">
      <c r="A15">
        <v>13</v>
      </c>
      <c r="B15">
        <f ca="1">($K$5+($K$6-$K$5)*RAND())/100</f>
        <v>1.3005138113452816E-2</v>
      </c>
      <c r="C15">
        <f ca="1">($K$7 + ($K$8-$K$7)*RAND())/100</f>
        <v>1.5813356831358746E-2</v>
      </c>
      <c r="D15">
        <v>7.1861839868711958E-9</v>
      </c>
      <c r="E15">
        <v>8.7991296763124175E-9</v>
      </c>
      <c r="F15" s="4">
        <f t="shared" si="1"/>
        <v>1386.0000000844245</v>
      </c>
      <c r="G15" s="4">
        <f t="shared" si="1"/>
        <v>4494.0000001007311</v>
      </c>
      <c r="H15">
        <f>($K$2/1000)*(D16^2 + E16^2)</f>
        <v>7.3293235167394372E-19</v>
      </c>
      <c r="I15">
        <f t="shared" ca="1" si="0"/>
        <v>-36.799501176104933</v>
      </c>
    </row>
    <row r="16" spans="1:11" x14ac:dyDescent="0.3">
      <c r="A16">
        <v>14</v>
      </c>
      <c r="B16">
        <f ca="1">($K$5+($K$6-$K$5)*RAND())/100</f>
        <v>1.310343310269536E-2</v>
      </c>
      <c r="C16">
        <f ca="1">($K$7 + ($K$8-$K$7)*RAND())/100</f>
        <v>1.5936022501737562E-2</v>
      </c>
      <c r="D16">
        <v>4.7140066904916992E-9</v>
      </c>
      <c r="E16">
        <v>7.6951328049469699E-9</v>
      </c>
      <c r="F16" s="4">
        <f t="shared" si="1"/>
        <v>1386.0000000891384</v>
      </c>
      <c r="G16" s="4">
        <f t="shared" si="1"/>
        <v>4494.0000001084263</v>
      </c>
      <c r="H16">
        <f>($K$2/1000)*(D17^2 + E17^2)</f>
        <v>2.2032301956320907E-18</v>
      </c>
      <c r="I16">
        <f t="shared" ca="1" si="0"/>
        <v>-42.944067062907969</v>
      </c>
    </row>
    <row r="17" spans="1:9" x14ac:dyDescent="0.3">
      <c r="A17">
        <v>15</v>
      </c>
      <c r="B17">
        <f ca="1">($K$5+($K$6-$K$5)*RAND())/100</f>
        <v>1.4511493730973775E-2</v>
      </c>
      <c r="C17">
        <f ca="1">($K$7 + ($K$8-$K$7)*RAND())/100</f>
        <v>1.6068243697131255E-2</v>
      </c>
      <c r="D17">
        <v>1.0670214694292581E-8</v>
      </c>
      <c r="E17">
        <v>1.1443333144147077E-8</v>
      </c>
      <c r="F17" s="4">
        <f t="shared" si="1"/>
        <v>1386.0000000998086</v>
      </c>
      <c r="G17" s="4">
        <f t="shared" si="1"/>
        <v>4494.0000001198696</v>
      </c>
      <c r="H17">
        <f>($K$2/1000)*(D18^2 + E18^2)</f>
        <v>1.5382223083469609E-19</v>
      </c>
      <c r="I17">
        <f t="shared" ca="1" si="0"/>
        <v>-42.639335022746593</v>
      </c>
    </row>
    <row r="18" spans="1:9" x14ac:dyDescent="0.3">
      <c r="A18">
        <v>16</v>
      </c>
      <c r="B18">
        <f ca="1">($K$5+($K$6-$K$5)*RAND())/100</f>
        <v>1.4406673367485266E-2</v>
      </c>
      <c r="C18">
        <f ca="1">($K$7 + ($K$8-$K$7)*RAND())/100</f>
        <v>1.5948235996289747E-2</v>
      </c>
      <c r="D18">
        <v>3.0913179697526658E-9</v>
      </c>
      <c r="E18">
        <v>2.7450158818333192E-9</v>
      </c>
      <c r="F18" s="4">
        <f t="shared" si="1"/>
        <v>1386.0000001029</v>
      </c>
      <c r="G18" s="4">
        <f t="shared" si="1"/>
        <v>4494.0000001226144</v>
      </c>
      <c r="H18">
        <f>($K$2/1000)*(D19^2 + E19^2)</f>
        <v>1.3721278544575005E-18</v>
      </c>
      <c r="I18">
        <f t="shared" ca="1" si="0"/>
        <v>-48.292545249477712</v>
      </c>
    </row>
    <row r="19" spans="1:9" x14ac:dyDescent="0.3">
      <c r="A19">
        <v>17</v>
      </c>
      <c r="B19">
        <f ca="1">($K$5+($K$6-$K$5)*RAND())/100</f>
        <v>1.5595386889198115E-2</v>
      </c>
      <c r="C19">
        <f ca="1">($K$7 + ($K$8-$K$7)*RAND())/100</f>
        <v>1.5723754279104166E-2</v>
      </c>
      <c r="D19">
        <v>9.7316187082137297E-9</v>
      </c>
      <c r="E19">
        <v>7.5996215572370689E-9</v>
      </c>
      <c r="F19" s="4">
        <f t="shared" si="1"/>
        <v>1386.0000001126316</v>
      </c>
      <c r="G19" s="4">
        <f t="shared" si="1"/>
        <v>4494.0000001302142</v>
      </c>
      <c r="H19">
        <f>($K$2/1000)*(D20^2 + E20^2)</f>
        <v>8.5451205648520633E-19</v>
      </c>
      <c r="I19">
        <f t="shared" ca="1" si="0"/>
        <v>-44.904123720784476</v>
      </c>
    </row>
    <row r="20" spans="1:9" x14ac:dyDescent="0.3">
      <c r="A20">
        <v>18</v>
      </c>
      <c r="B20">
        <f ca="1">($K$5+($K$6-$K$5)*RAND())/100</f>
        <v>1.4851792009552838E-2</v>
      </c>
      <c r="C20">
        <f ca="1">($K$7 + ($K$8-$K$7)*RAND())/100</f>
        <v>1.5757452792487706E-2</v>
      </c>
      <c r="D20">
        <v>3.3621110469825928E-9</v>
      </c>
      <c r="E20">
        <v>9.1455996720646725E-9</v>
      </c>
      <c r="F20" s="4">
        <f t="shared" si="1"/>
        <v>1386.0000001159938</v>
      </c>
      <c r="G20" s="4">
        <f t="shared" si="1"/>
        <v>4494.0000001393601</v>
      </c>
      <c r="H20">
        <f>($K$2/1000)*(D21^2 + E21^2)</f>
        <v>1.1542680072969974E-18</v>
      </c>
      <c r="I20">
        <f t="shared" ca="1" si="0"/>
        <v>-42.978220653277944</v>
      </c>
    </row>
    <row r="21" spans="1:9" x14ac:dyDescent="0.3">
      <c r="A21">
        <v>19</v>
      </c>
      <c r="B21">
        <f ca="1">($K$5+($K$6-$K$5)*RAND())/100</f>
        <v>1.4463176471100941E-2</v>
      </c>
      <c r="C21">
        <f ca="1">($K$7 + ($K$8-$K$7)*RAND())/100</f>
        <v>1.5886936802342676E-2</v>
      </c>
      <c r="D21">
        <v>6.7429731078936267E-9</v>
      </c>
      <c r="E21">
        <v>9.098588598073927E-9</v>
      </c>
      <c r="F21" s="4">
        <f t="shared" si="1"/>
        <v>1386.0000001227368</v>
      </c>
      <c r="G21" s="4">
        <f t="shared" si="1"/>
        <v>4494.0000001484586</v>
      </c>
      <c r="H21">
        <f>($K$2/1000)*(D22^2 + E22^2)</f>
        <v>2.4536079733951295E-18</v>
      </c>
      <c r="I21">
        <f t="shared" ca="1" si="0"/>
        <v>-44.388815408819497</v>
      </c>
    </row>
    <row r="22" spans="1:9" x14ac:dyDescent="0.3">
      <c r="A22">
        <v>20</v>
      </c>
      <c r="B22">
        <f ca="1">($K$5+($K$6-$K$5)*RAND())/100</f>
        <v>1.4773315862989007E-2</v>
      </c>
      <c r="C22">
        <f ca="1">($K$7 + ($K$8-$K$7)*RAND())/100</f>
        <v>1.5874795151262749E-2</v>
      </c>
      <c r="D22">
        <v>1.2759591785530477E-8</v>
      </c>
      <c r="E22">
        <v>1.0479309405759407E-8</v>
      </c>
      <c r="F22" s="4">
        <f t="shared" si="1"/>
        <v>1386.0000001354963</v>
      </c>
      <c r="G22" s="4">
        <f t="shared" si="1"/>
        <v>4494.0000001589378</v>
      </c>
      <c r="H22">
        <f>($K$2/1000)*(D23^2 + E23^2)</f>
        <v>1.5588105787526238E-18</v>
      </c>
      <c r="I22">
        <f t="shared" ca="1" si="0"/>
        <v>-40.494967105379146</v>
      </c>
    </row>
    <row r="23" spans="1:9" x14ac:dyDescent="0.3">
      <c r="A23">
        <v>21</v>
      </c>
      <c r="B23">
        <f ca="1">($K$5+($K$6-$K$5)*RAND())/100</f>
        <v>1.3905795276410999E-2</v>
      </c>
      <c r="C23">
        <f ca="1">($K$7 + ($K$8-$K$7)*RAND())/100</f>
        <v>1.5871339730830027E-2</v>
      </c>
      <c r="D23">
        <v>6.3764121749280921E-9</v>
      </c>
      <c r="E23">
        <v>1.1512712243098366E-8</v>
      </c>
      <c r="F23" s="4">
        <f t="shared" si="1"/>
        <v>1386.0000001418728</v>
      </c>
      <c r="G23" s="4">
        <f t="shared" si="1"/>
        <v>4494.0000001704502</v>
      </c>
      <c r="H23">
        <f>($K$2/1000)*(D24^2 + E24^2)</f>
        <v>1.4456125269121361E-18</v>
      </c>
      <c r="I23">
        <f t="shared" ca="1" si="0"/>
        <v>-39.369101118986649</v>
      </c>
    </row>
    <row r="24" spans="1:9" x14ac:dyDescent="0.3">
      <c r="A24">
        <v>22</v>
      </c>
      <c r="B24">
        <f ca="1">($K$5+($K$6-$K$5)*RAND())/100</f>
        <v>1.3718262400120265E-2</v>
      </c>
      <c r="C24">
        <f ca="1">($K$7 + ($K$8-$K$7)*RAND())/100</f>
        <v>1.6075591707937945E-2</v>
      </c>
      <c r="D24">
        <v>8.5608591363810141E-9</v>
      </c>
      <c r="E24">
        <v>9.3453359997589264E-9</v>
      </c>
      <c r="F24" s="4">
        <f t="shared" si="1"/>
        <v>1386.0000001504336</v>
      </c>
      <c r="G24" s="4">
        <f t="shared" si="1"/>
        <v>4494.0000001797953</v>
      </c>
      <c r="H24">
        <f>($K$2/1000)*(D25^2 + E25^2)</f>
        <v>8.9327559336882478E-19</v>
      </c>
      <c r="I24">
        <f t="shared" ca="1" si="0"/>
        <v>-40.104229329883438</v>
      </c>
    </row>
    <row r="25" spans="1:9" x14ac:dyDescent="0.3">
      <c r="A25">
        <v>23</v>
      </c>
      <c r="B25">
        <f ca="1">($K$5+($K$6-$K$5)*RAND())/100</f>
        <v>1.3888458241205357E-2</v>
      </c>
      <c r="C25">
        <f ca="1">($K$7 + ($K$8-$K$7)*RAND())/100</f>
        <v>1.6097043294430777E-2</v>
      </c>
      <c r="D25">
        <v>9.0521433152869578E-9</v>
      </c>
      <c r="E25">
        <v>4.1607144947896687E-9</v>
      </c>
      <c r="F25" s="4">
        <f t="shared" si="1"/>
        <v>1386.0000001594858</v>
      </c>
      <c r="G25" s="4">
        <f t="shared" si="1"/>
        <v>4494.0000001839562</v>
      </c>
      <c r="H25">
        <f>($K$2/1000)*(D26^2 + E26^2)</f>
        <v>9.170383972586674E-19</v>
      </c>
      <c r="I25">
        <f t="shared" ca="1" si="0"/>
        <v>-35.391940812789414</v>
      </c>
    </row>
    <row r="26" spans="1:9" x14ac:dyDescent="0.3">
      <c r="A26">
        <v>24</v>
      </c>
      <c r="B26">
        <f ca="1">($K$5+($K$6-$K$5)*RAND())/100</f>
        <v>1.2755398999755203E-2</v>
      </c>
      <c r="C26">
        <f ca="1">($K$7 + ($K$8-$K$7)*RAND())/100</f>
        <v>1.5823104106714045E-2</v>
      </c>
      <c r="D26">
        <v>7.3378198099251414E-9</v>
      </c>
      <c r="E26">
        <v>6.9317786814087768E-9</v>
      </c>
      <c r="F26" s="4">
        <f t="shared" si="1"/>
        <v>1386.0000001668236</v>
      </c>
      <c r="G26" s="4">
        <f t="shared" si="1"/>
        <v>4494.0000001908884</v>
      </c>
      <c r="H26">
        <f>($K$2/1000)*(D27^2 + E27^2)</f>
        <v>1.3632323798454843E-18</v>
      </c>
      <c r="I26">
        <f t="shared" ca="1" si="0"/>
        <v>-37.657197495735559</v>
      </c>
    </row>
    <row r="27" spans="1:9" x14ac:dyDescent="0.3">
      <c r="A27">
        <v>25</v>
      </c>
      <c r="B27">
        <f ca="1">($K$5+($K$6-$K$5)*RAND())/100</f>
        <v>1.3222493743961393E-2</v>
      </c>
      <c r="C27">
        <f ca="1">($K$7 + ($K$8-$K$7)*RAND())/100</f>
        <v>1.5703239097783834E-2</v>
      </c>
      <c r="D27">
        <v>8.0344755096823662E-9</v>
      </c>
      <c r="E27">
        <v>9.3229538082943604E-9</v>
      </c>
      <c r="F27" s="4">
        <f t="shared" si="1"/>
        <v>1386.0000001748581</v>
      </c>
      <c r="G27" s="4">
        <f t="shared" si="1"/>
        <v>4494.0000002002116</v>
      </c>
      <c r="H27">
        <f>($K$2/1000)*(D28^2 + E28^2)</f>
        <v>1.1234817155348434E-18</v>
      </c>
      <c r="I27">
        <f t="shared" ca="1" si="0"/>
        <v>-45.560670833905675</v>
      </c>
    </row>
    <row r="28" spans="1:9" x14ac:dyDescent="0.3">
      <c r="A28">
        <v>26</v>
      </c>
      <c r="B28">
        <f ca="1">($K$5+($K$6-$K$5)*RAND())/100</f>
        <v>1.5076377546712144E-2</v>
      </c>
      <c r="C28">
        <f ca="1">($K$7 + ($K$8-$K$7)*RAND())/100</f>
        <v>1.6011955166736369E-2</v>
      </c>
      <c r="D28">
        <v>1.0937529927174474E-8</v>
      </c>
      <c r="E28">
        <v>2.280732517910959E-9</v>
      </c>
      <c r="F28" s="4">
        <f t="shared" si="1"/>
        <v>1386.0000001857957</v>
      </c>
      <c r="G28" s="4">
        <f t="shared" si="1"/>
        <v>4494.0000002024926</v>
      </c>
      <c r="H28">
        <f>($K$2/1000)*(D29^2 + E29^2)</f>
        <v>5.8256805925415532E-19</v>
      </c>
      <c r="I28">
        <f t="shared" ca="1" si="0"/>
        <v>-41.880484885017253</v>
      </c>
    </row>
    <row r="29" spans="1:9" x14ac:dyDescent="0.3">
      <c r="A29">
        <v>27</v>
      </c>
      <c r="B29">
        <f ca="1">($K$5+($K$6-$K$5)*RAND())/100</f>
        <v>1.4216742729644771E-2</v>
      </c>
      <c r="C29">
        <f ca="1">($K$7 + ($K$8-$K$7)*RAND())/100</f>
        <v>1.5879911213489018E-2</v>
      </c>
      <c r="D29">
        <v>6.5875231151996648E-9</v>
      </c>
      <c r="E29">
        <v>4.6189093483508557E-9</v>
      </c>
      <c r="F29" s="4">
        <f t="shared" si="1"/>
        <v>1386.0000001923831</v>
      </c>
      <c r="G29" s="4">
        <f t="shared" si="1"/>
        <v>4494.000000207112</v>
      </c>
      <c r="H29">
        <f>($K$2/1000)*(D30^2 + E30^2)</f>
        <v>9.4336773061352757E-20</v>
      </c>
      <c r="I29">
        <f t="shared" ca="1" si="0"/>
        <v>-34.856934916018012</v>
      </c>
    </row>
    <row r="30" spans="1:9" x14ac:dyDescent="0.3">
      <c r="A30">
        <v>28</v>
      </c>
      <c r="B30">
        <f ca="1">($K$5+($K$6-$K$5)*RAND())/100</f>
        <v>1.2674819635322639E-2</v>
      </c>
      <c r="C30">
        <f ca="1">($K$7 + ($K$8-$K$7)*RAND())/100</f>
        <v>1.5947838762424223E-2</v>
      </c>
      <c r="D30">
        <v>0</v>
      </c>
      <c r="E30">
        <v>3.2375706437827176E-9</v>
      </c>
      <c r="F30" s="4">
        <f t="shared" si="1"/>
        <v>1386.0000001923831</v>
      </c>
      <c r="G30" s="4">
        <f t="shared" si="1"/>
        <v>4494.0000002103498</v>
      </c>
      <c r="H30">
        <f>($K$2/1000)*(D31^2 + E31^2)</f>
        <v>1.8389106633592624E-18</v>
      </c>
      <c r="I30">
        <f t="shared" ca="1" si="0"/>
        <v>-46.293614098249364</v>
      </c>
    </row>
    <row r="31" spans="1:9" x14ac:dyDescent="0.3">
      <c r="A31">
        <v>29</v>
      </c>
      <c r="B31">
        <f ca="1">($K$5+($K$6-$K$5)*RAND())/100</f>
        <v>1.5158732513875395E-2</v>
      </c>
      <c r="C31">
        <f ca="1">($K$7 + ($K$8-$K$7)*RAND())/100</f>
        <v>1.5750165814841587E-2</v>
      </c>
      <c r="D31">
        <v>5.8658636714371695E-9</v>
      </c>
      <c r="E31">
        <v>1.3035146735960886E-8</v>
      </c>
      <c r="F31" s="4">
        <f t="shared" si="1"/>
        <v>1386.0000001982489</v>
      </c>
      <c r="G31" s="4">
        <f t="shared" si="1"/>
        <v>4494.0000002233846</v>
      </c>
      <c r="H31">
        <f>($K$2/1000)*(D32^2 + E32^2)</f>
        <v>3.2564848172464911E-18</v>
      </c>
      <c r="I31">
        <f t="shared" ca="1" si="0"/>
        <v>-37.807027876707735</v>
      </c>
    </row>
    <row r="32" spans="1:9" x14ac:dyDescent="0.3">
      <c r="A32">
        <v>30</v>
      </c>
      <c r="B32">
        <f ca="1">($K$5+($K$6-$K$5)*RAND())/100</f>
        <v>1.3356865157862685E-2</v>
      </c>
      <c r="C32">
        <f ca="1">($K$7 + ($K$8-$K$7)*RAND())/100</f>
        <v>1.6030825499649171E-2</v>
      </c>
      <c r="D32">
        <v>1.2863638885621162E-8</v>
      </c>
      <c r="E32">
        <v>1.4012795616187958E-8</v>
      </c>
      <c r="F32" s="4">
        <f t="shared" si="1"/>
        <v>1386.0000002111126</v>
      </c>
      <c r="G32" s="4">
        <f t="shared" si="1"/>
        <v>4494.0000002373972</v>
      </c>
      <c r="H32">
        <f>($K$2/1000)*(D33^2 + E33^2)</f>
        <v>1.5304700017050132E-19</v>
      </c>
      <c r="I32">
        <f t="shared" ca="1" si="0"/>
        <v>-36.691304370927412</v>
      </c>
    </row>
    <row r="33" spans="1:9" x14ac:dyDescent="0.3">
      <c r="A33">
        <v>31</v>
      </c>
      <c r="B33">
        <f ca="1">($K$5+($K$6-$K$5)*RAND())/100</f>
        <v>1.3100489315651302E-2</v>
      </c>
      <c r="C33">
        <f ca="1">($K$7 + ($K$8-$K$7)*RAND())/100</f>
        <v>1.6004541568105931E-2</v>
      </c>
      <c r="D33">
        <v>0</v>
      </c>
      <c r="E33">
        <v>4.1237388667526967E-9</v>
      </c>
      <c r="F33" s="4">
        <f t="shared" si="1"/>
        <v>1386.0000002111126</v>
      </c>
      <c r="G33" s="4">
        <f t="shared" si="1"/>
        <v>4494.0000002415209</v>
      </c>
      <c r="H33">
        <f>($K$2/1000)*(D34^2 + E34^2)</f>
        <v>6.6078925458840669E-19</v>
      </c>
      <c r="I33">
        <f t="shared" ca="1" si="0"/>
        <v>-42.14898125798878</v>
      </c>
    </row>
    <row r="34" spans="1:9" x14ac:dyDescent="0.3">
      <c r="A34">
        <v>32</v>
      </c>
      <c r="B34">
        <f ca="1">($K$5+($K$6-$K$5)*RAND())/100</f>
        <v>1.4247068654591539E-2</v>
      </c>
      <c r="C34">
        <f ca="1">($K$7 + ($K$8-$K$7)*RAND())/100</f>
        <v>1.5784520401074444E-2</v>
      </c>
      <c r="D34">
        <v>4.4150969502198278E-9</v>
      </c>
      <c r="E34">
        <v>7.3435650203263222E-9</v>
      </c>
      <c r="F34" s="4">
        <f t="shared" si="1"/>
        <v>1386.0000002155277</v>
      </c>
      <c r="G34" s="4">
        <f t="shared" si="1"/>
        <v>4494.0000002488641</v>
      </c>
      <c r="H34">
        <f>($K$2/1000)*(D35^2 + E35^2)</f>
        <v>1.3974589320172459E-18</v>
      </c>
      <c r="I34">
        <f t="shared" ca="1" si="0"/>
        <v>-39.489550799181004</v>
      </c>
    </row>
    <row r="35" spans="1:9" x14ac:dyDescent="0.3">
      <c r="A35">
        <v>33</v>
      </c>
      <c r="B35">
        <f ca="1">($K$5+($K$6-$K$5)*RAND())/100</f>
        <v>1.3666543415035393E-2</v>
      </c>
      <c r="C35">
        <f ca="1">($K$7 + ($K$8-$K$7)*RAND())/100</f>
        <v>1.5820992285627996E-2</v>
      </c>
      <c r="D35">
        <v>1.111573303244686E-8</v>
      </c>
      <c r="E35">
        <v>5.6314912607543484E-9</v>
      </c>
      <c r="F35" s="4">
        <f t="shared" si="1"/>
        <v>1386.0000002266436</v>
      </c>
      <c r="G35" s="4">
        <f t="shared" si="1"/>
        <v>4494.0000002544957</v>
      </c>
      <c r="H35">
        <f>($K$2/1000)*(D36^2 + E36^2)</f>
        <v>1.0809495792462618E-18</v>
      </c>
      <c r="I35">
        <f t="shared" ca="1" si="0"/>
        <v>-44.420034485807633</v>
      </c>
    </row>
    <row r="36" spans="1:9" x14ac:dyDescent="0.3">
      <c r="A36">
        <v>34</v>
      </c>
      <c r="B36">
        <f ca="1">($K$5+($K$6-$K$5)*RAND())/100</f>
        <v>1.4747589416321647E-2</v>
      </c>
      <c r="C36">
        <f ca="1">($K$7 + ($K$8-$K$7)*RAND())/100</f>
        <v>1.576885451035347E-2</v>
      </c>
      <c r="D36">
        <v>6.456848698730076E-9</v>
      </c>
      <c r="E36">
        <v>8.8552026338671621E-9</v>
      </c>
      <c r="F36" s="4">
        <f t="shared" si="1"/>
        <v>1386.0000002331005</v>
      </c>
      <c r="G36" s="4">
        <f t="shared" si="1"/>
        <v>4494.0000002633506</v>
      </c>
      <c r="H36">
        <f>($K$2/1000)*(D37^2 + E37^2)</f>
        <v>9.6701399359017566E-19</v>
      </c>
      <c r="I36">
        <f t="shared" ca="1" si="0"/>
        <v>-43.908435877142558</v>
      </c>
    </row>
    <row r="37" spans="1:9" x14ac:dyDescent="0.3">
      <c r="A37">
        <v>35</v>
      </c>
      <c r="B37">
        <f ca="1">($K$5+($K$6-$K$5)*RAND())/100</f>
        <v>1.467944468771778E-2</v>
      </c>
      <c r="C37">
        <f ca="1">($K$7 + ($K$8-$K$7)*RAND())/100</f>
        <v>1.5917019155635023E-2</v>
      </c>
      <c r="D37">
        <v>3.2177722034018812E-9</v>
      </c>
      <c r="E37">
        <v>9.8535243103577677E-9</v>
      </c>
      <c r="F37" s="4">
        <f t="shared" si="1"/>
        <v>1386.0000002363183</v>
      </c>
      <c r="G37" s="4">
        <f t="shared" si="1"/>
        <v>4494.000000273204</v>
      </c>
      <c r="H37">
        <f>($K$2/1000)*(D38^2 + E38^2)</f>
        <v>1.2446788294480977E-18</v>
      </c>
      <c r="I37">
        <f t="shared" ca="1" si="0"/>
        <v>-34.203986723108926</v>
      </c>
    </row>
    <row r="38" spans="1:9" x14ac:dyDescent="0.3">
      <c r="A38">
        <v>36</v>
      </c>
      <c r="B38">
        <f ca="1">($K$5+($K$6-$K$5)*RAND())/100</f>
        <v>1.2499082569546641E-2</v>
      </c>
      <c r="C38">
        <f ca="1">($K$7 + ($K$8-$K$7)*RAND())/100</f>
        <v>1.584912723241998E-2</v>
      </c>
      <c r="D38">
        <v>6.0112373390861248E-9</v>
      </c>
      <c r="E38">
        <v>1.0107555261764937E-8</v>
      </c>
      <c r="F38" s="4">
        <f t="shared" si="1"/>
        <v>1386.0000002423296</v>
      </c>
      <c r="G38" s="4">
        <f t="shared" si="1"/>
        <v>4494.0000002833112</v>
      </c>
      <c r="H38">
        <f>($K$2/1000)*(D39^2 + E39^2)</f>
        <v>2.4181625286932424E-19</v>
      </c>
      <c r="I38">
        <f t="shared" ca="1" si="0"/>
        <v>-37.826346944452709</v>
      </c>
    </row>
    <row r="39" spans="1:9" x14ac:dyDescent="0.3">
      <c r="A39">
        <v>37</v>
      </c>
      <c r="B39">
        <f ca="1">($K$5+($K$6-$K$5)*RAND())/100</f>
        <v>1.3313997902175625E-2</v>
      </c>
      <c r="C39">
        <f ca="1">($K$7 + ($K$8-$K$7)*RAND())/100</f>
        <v>1.5877892949435705E-2</v>
      </c>
      <c r="D39">
        <v>0</v>
      </c>
      <c r="E39">
        <v>5.1834807360533356E-9</v>
      </c>
      <c r="F39" s="4">
        <f t="shared" si="1"/>
        <v>1386.0000002423296</v>
      </c>
      <c r="G39" s="4">
        <f t="shared" si="1"/>
        <v>4494.0000002884944</v>
      </c>
      <c r="H39">
        <f>($K$2/1000)*(D40^2 + E40^2)</f>
        <v>1.1758304444374464E-18</v>
      </c>
      <c r="I39">
        <f t="shared" ca="1" si="0"/>
        <v>-36.521340693935755</v>
      </c>
    </row>
    <row r="40" spans="1:9" x14ac:dyDescent="0.3">
      <c r="A40">
        <v>38</v>
      </c>
      <c r="B40">
        <f ca="1">($K$5+($K$6-$K$5)*RAND())/100</f>
        <v>1.302682292007936E-2</v>
      </c>
      <c r="C40">
        <f ca="1">($K$7 + ($K$8-$K$7)*RAND())/100</f>
        <v>1.5888312777025793E-2</v>
      </c>
      <c r="D40">
        <v>0</v>
      </c>
      <c r="E40">
        <v>1.1430128046514452E-8</v>
      </c>
      <c r="F40" s="4">
        <f t="shared" si="1"/>
        <v>1386.0000002423296</v>
      </c>
      <c r="G40" s="4">
        <f t="shared" si="1"/>
        <v>4494.000000299925</v>
      </c>
      <c r="H40">
        <f>($K$2/1000)*(D41^2 + E41^2)</f>
        <v>1.2815901351729008E-18</v>
      </c>
      <c r="I40">
        <f t="shared" ca="1" si="0"/>
        <v>-45.014737397848563</v>
      </c>
    </row>
    <row r="41" spans="1:9" x14ac:dyDescent="0.3">
      <c r="A41">
        <v>39</v>
      </c>
      <c r="B41">
        <f ca="1">($K$5+($K$6-$K$5)*RAND())/100</f>
        <v>1.4921769633811824E-2</v>
      </c>
      <c r="C41">
        <f ca="1">($K$7 + ($K$8-$K$7)*RAND())/100</f>
        <v>1.5904542090259377E-2</v>
      </c>
      <c r="D41">
        <v>8.9186833969002386E-9</v>
      </c>
      <c r="E41">
        <v>7.9281769893182959E-9</v>
      </c>
      <c r="F41" s="4">
        <f t="shared" si="1"/>
        <v>1386.0000002512484</v>
      </c>
      <c r="G41" s="4">
        <f t="shared" si="1"/>
        <v>4494.000000307853</v>
      </c>
      <c r="H41">
        <f>($K$2/1000)*(D42^2 + E42^2)</f>
        <v>1.3804881797581431E-19</v>
      </c>
      <c r="I41">
        <f t="shared" ca="1" si="0"/>
        <v>-45.407652516494572</v>
      </c>
    </row>
    <row r="42" spans="1:9" x14ac:dyDescent="0.3">
      <c r="A42">
        <v>40</v>
      </c>
      <c r="B42">
        <f ca="1">($K$5+($K$6-$K$5)*RAND())/100</f>
        <v>1.4990489317850271E-2</v>
      </c>
      <c r="C42">
        <f ca="1">($K$7 + ($K$8-$K$7)*RAND())/100</f>
        <v>1.5843871918149146E-2</v>
      </c>
      <c r="D42">
        <v>2.8202303795159959E-9</v>
      </c>
      <c r="E42">
        <v>2.7175463490662529E-9</v>
      </c>
      <c r="F42" s="4">
        <f t="shared" si="1"/>
        <v>1386.0000002540687</v>
      </c>
      <c r="G42" s="4">
        <f t="shared" si="1"/>
        <v>4494.0000003105706</v>
      </c>
      <c r="H42">
        <f>($K$2/1000)*(D43^2 + E43^2)</f>
        <v>9.991100039757352E-19</v>
      </c>
      <c r="I42">
        <f t="shared" ca="1" si="0"/>
        <v>-46.947732623715169</v>
      </c>
    </row>
    <row r="43" spans="1:9" x14ac:dyDescent="0.3">
      <c r="A43">
        <v>41</v>
      </c>
      <c r="B43">
        <f ca="1">($K$5+($K$6-$K$5)*RAND())/100</f>
        <v>1.536819529108302E-2</v>
      </c>
      <c r="C43">
        <f ca="1">($K$7 + ($K$8-$K$7)*RAND())/100</f>
        <v>1.5957386013848929E-2</v>
      </c>
      <c r="D43">
        <v>4.9457601227631143E-9</v>
      </c>
      <c r="E43">
        <v>9.3033155096479868E-9</v>
      </c>
      <c r="F43" s="4">
        <f t="shared" si="1"/>
        <v>1386.0000002590145</v>
      </c>
      <c r="G43" s="4">
        <f t="shared" si="1"/>
        <v>4494.0000003198738</v>
      </c>
      <c r="H43">
        <f>($K$2/1000)*(D44^2 + E44^2)</f>
        <v>3.9925608474922623E-19</v>
      </c>
      <c r="I43">
        <f t="shared" ca="1" si="0"/>
        <v>-37.777182396134023</v>
      </c>
    </row>
    <row r="44" spans="1:9" x14ac:dyDescent="0.3">
      <c r="A44">
        <v>42</v>
      </c>
      <c r="B44">
        <f ca="1">($K$5+($K$6-$K$5)*RAND())/100</f>
        <v>1.3333759916012079E-2</v>
      </c>
      <c r="C44">
        <f ca="1">($K$7 + ($K$8-$K$7)*RAND())/100</f>
        <v>1.5977442039417783E-2</v>
      </c>
      <c r="D44">
        <v>4.1168585908350613E-10</v>
      </c>
      <c r="E44">
        <v>6.6477290820090697E-9</v>
      </c>
      <c r="F44" s="4">
        <f t="shared" si="1"/>
        <v>1386.0000002594263</v>
      </c>
      <c r="G44" s="4">
        <f t="shared" si="1"/>
        <v>4494.0000003265213</v>
      </c>
      <c r="H44">
        <f>($K$2/1000)*(D45^2 + E45^2)</f>
        <v>1.1973799952035304E-18</v>
      </c>
      <c r="I44">
        <f t="shared" ca="1" si="0"/>
        <v>-46.82527155217074</v>
      </c>
    </row>
    <row r="45" spans="1:9" x14ac:dyDescent="0.3">
      <c r="A45">
        <v>43</v>
      </c>
      <c r="B45">
        <f ca="1">($K$5+($K$6-$K$5)*RAND())/100</f>
        <v>1.537565522200977E-2</v>
      </c>
      <c r="C45">
        <f ca="1">($K$7 + ($K$8-$K$7)*RAND())/100</f>
        <v>1.6069930026318905E-2</v>
      </c>
      <c r="D45">
        <v>4.7487737218647335E-9</v>
      </c>
      <c r="E45">
        <v>1.0511487517369182E-8</v>
      </c>
      <c r="F45" s="4">
        <f t="shared" si="1"/>
        <v>1386.000000264175</v>
      </c>
      <c r="G45" s="4">
        <f t="shared" si="1"/>
        <v>4494.0000003370333</v>
      </c>
      <c r="H45">
        <f>($K$2/1000)*(D46^2 + E46^2)</f>
        <v>1.0080524647394484E-18</v>
      </c>
      <c r="I45">
        <f t="shared" ca="1" si="0"/>
        <v>-47.694550942572562</v>
      </c>
    </row>
    <row r="46" spans="1:9" x14ac:dyDescent="0.3">
      <c r="A46">
        <v>44</v>
      </c>
      <c r="B46">
        <f ca="1">($K$5+($K$6-$K$5)*RAND())/100</f>
        <v>1.5498844452393232E-2</v>
      </c>
      <c r="C46">
        <f ca="1">($K$7 + ($K$8-$K$7)*RAND())/100</f>
        <v>1.584217606595268E-2</v>
      </c>
      <c r="D46">
        <v>1.0095676394243396E-8</v>
      </c>
      <c r="E46">
        <v>3.1753972284126812E-9</v>
      </c>
      <c r="F46" s="4">
        <f t="shared" si="1"/>
        <v>1386.0000002742706</v>
      </c>
      <c r="G46" s="4">
        <f t="shared" si="1"/>
        <v>4494.0000003402083</v>
      </c>
      <c r="H46">
        <f>($K$2/1000)*(D47^2 + E47^2)</f>
        <v>7.789575397632498E-19</v>
      </c>
      <c r="I46">
        <f t="shared" ca="1" si="0"/>
        <v>-36.47105449240982</v>
      </c>
    </row>
    <row r="47" spans="1:9" x14ac:dyDescent="0.3">
      <c r="A47">
        <v>45</v>
      </c>
      <c r="B47">
        <f ca="1">($K$5+($K$6-$K$5)*RAND())/100</f>
        <v>1.296880026023133E-2</v>
      </c>
      <c r="C47">
        <f ca="1">($K$7 + ($K$8-$K$7)*RAND())/100</f>
        <v>1.5736460228776204E-2</v>
      </c>
      <c r="D47">
        <v>8.4388884516959919E-9</v>
      </c>
      <c r="E47">
        <v>3.9161204592433352E-9</v>
      </c>
      <c r="F47" s="4">
        <f t="shared" si="1"/>
        <v>1386.0000002827096</v>
      </c>
      <c r="G47" s="4">
        <f t="shared" si="1"/>
        <v>4494.0000003441246</v>
      </c>
      <c r="H47">
        <f>($K$2/1000)*(D48^2 + E48^2)</f>
        <v>1.0368861010852763E-18</v>
      </c>
      <c r="I47">
        <f t="shared" ca="1" si="0"/>
        <v>-34.347435604040811</v>
      </c>
    </row>
    <row r="48" spans="1:9" x14ac:dyDescent="0.3">
      <c r="A48">
        <v>46</v>
      </c>
      <c r="B48">
        <f ca="1">($K$5+($K$6-$K$5)*RAND())/100</f>
        <v>1.2562142989783365E-2</v>
      </c>
      <c r="C48">
        <f ca="1">($K$7 + ($K$8-$K$7)*RAND())/100</f>
        <v>1.5950097396745046E-2</v>
      </c>
      <c r="D48">
        <v>5.4469810473128703E-9</v>
      </c>
      <c r="E48">
        <v>9.2487817715344178E-9</v>
      </c>
      <c r="F48" s="4">
        <f t="shared" si="1"/>
        <v>1386.0000002881566</v>
      </c>
      <c r="G48" s="4">
        <f t="shared" si="1"/>
        <v>4494.0000003533733</v>
      </c>
      <c r="H48">
        <f>($K$2/1000)*(D49^2 + E49^2)</f>
        <v>1.8649319080103341E-18</v>
      </c>
      <c r="I48">
        <f t="shared" ca="1" si="0"/>
        <v>-47.692695211579434</v>
      </c>
    </row>
    <row r="49" spans="1:9" x14ac:dyDescent="0.3">
      <c r="A49">
        <v>47</v>
      </c>
      <c r="B49">
        <f ca="1">($K$5+($K$6-$K$5)*RAND())/100</f>
        <v>1.5540072173854454E-2</v>
      </c>
      <c r="C49">
        <f ca="1">($K$7 + ($K$8-$K$7)*RAND())/100</f>
        <v>1.5977192740678894E-2</v>
      </c>
      <c r="D49">
        <v>1.0929833461597889E-8</v>
      </c>
      <c r="E49">
        <v>9.3676783114775991E-9</v>
      </c>
      <c r="F49" s="4">
        <f t="shared" si="1"/>
        <v>1386.0000002990864</v>
      </c>
      <c r="G49" s="4">
        <f t="shared" si="1"/>
        <v>4494.000000362741</v>
      </c>
      <c r="H49">
        <f>($K$2/1000)*(D50^2 + E50^2)</f>
        <v>0</v>
      </c>
      <c r="I49">
        <f t="shared" ca="1" si="0"/>
        <v>-42.494077713042223</v>
      </c>
    </row>
    <row r="50" spans="1:9" x14ac:dyDescent="0.3">
      <c r="A50">
        <v>48</v>
      </c>
      <c r="B50">
        <f ca="1">($K$5+($K$6-$K$5)*RAND())/100</f>
        <v>1.4418748337522333E-2</v>
      </c>
      <c r="C50">
        <f ca="1">($K$7 + ($K$8-$K$7)*RAND())/100</f>
        <v>1.6092191425830061E-2</v>
      </c>
      <c r="D50">
        <v>0</v>
      </c>
      <c r="E50">
        <v>0</v>
      </c>
      <c r="F50" s="4">
        <f t="shared" si="1"/>
        <v>1386.0000002990864</v>
      </c>
      <c r="G50" s="4">
        <f t="shared" si="1"/>
        <v>4494.000000362741</v>
      </c>
      <c r="H50">
        <f>($K$2/1000)*(D51^2 + E51^2)</f>
        <v>0</v>
      </c>
      <c r="I50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Ясмин Зитуна</dc:creator>
  <cp:lastModifiedBy>Ясмин Зитуна</cp:lastModifiedBy>
  <dcterms:created xsi:type="dcterms:W3CDTF">2025-12-17T18:39:51Z</dcterms:created>
  <dcterms:modified xsi:type="dcterms:W3CDTF">2025-12-17T20:34:18Z</dcterms:modified>
</cp:coreProperties>
</file>