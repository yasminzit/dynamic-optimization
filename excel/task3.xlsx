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31_Зитуна_Excel_python\"/>
    </mc:Choice>
  </mc:AlternateContent>
  <xr:revisionPtr revIDLastSave="0" documentId="13_ncr:1_{53295BA1-627A-4A52-9190-3C85C1698029}" xr6:coauthVersionLast="47" xr6:coauthVersionMax="47" xr10:uidLastSave="{00000000-0000-0000-0000-000000000000}"/>
  <bookViews>
    <workbookView xWindow="-96" yWindow="0" windowWidth="11712" windowHeight="12336" firstSheet="2" activeTab="3" xr2:uid="{DE25B8D7-302E-4724-A774-92AB9E367D5A}"/>
  </bookViews>
  <sheets>
    <sheet name="Задача 3" sheetId="1" r:id="rId1"/>
    <sheet name="сценарий 1" sheetId="2" r:id="rId2"/>
    <sheet name="сценарий 2" sheetId="3" r:id="rId3"/>
    <sheet name="сценарий 3" sheetId="4" r:id="rId4"/>
  </sheets>
  <definedNames>
    <definedName name="solver_adj" localSheetId="0" hidden="1">'Задача 3'!$F$2:$F$61</definedName>
    <definedName name="solver_adj" localSheetId="1" hidden="1">'сценарий 1'!$F$2:$F$61</definedName>
    <definedName name="solver_adj" localSheetId="2" hidden="1">'сценарий 2'!$F$2:$F$61</definedName>
    <definedName name="solver_adj" localSheetId="3" hidden="1">'сценарий 3'!$F$2:$F$61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2</definedName>
    <definedName name="solver_drv" localSheetId="2" hidden="1">1</definedName>
    <definedName name="solver_drv" localSheetId="3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'Задача 3'!$F$2:$F$61</definedName>
    <definedName name="solver_lhs1" localSheetId="1" hidden="1">'сценарий 1'!$F$2:$F$61</definedName>
    <definedName name="solver_lhs1" localSheetId="2" hidden="1">'сценарий 2'!$F$2:$F$61</definedName>
    <definedName name="solver_lhs1" localSheetId="3" hidden="1">'сценарий 3'!$F$2:$F$61</definedName>
    <definedName name="solver_lhs2" localSheetId="0" hidden="1">'Задача 3'!$G$2:$G$61</definedName>
    <definedName name="solver_lhs2" localSheetId="1" hidden="1">'сценарий 1'!$G$2:$G$61</definedName>
    <definedName name="solver_lhs2" localSheetId="2" hidden="1">'сценарий 2'!$G$2:$G$61</definedName>
    <definedName name="solver_lhs2" localSheetId="3" hidden="1">'сценарий 3'!$G$2:$G$61</definedName>
    <definedName name="solver_lhs3" localSheetId="0" hidden="1">'Задача 3'!$G$2:$G$61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'Задача 3'!$J$2</definedName>
    <definedName name="solver_opt" localSheetId="1" hidden="1">'сценарий 1'!$J$2</definedName>
    <definedName name="solver_opt" localSheetId="2" hidden="1">'сценарий 2'!$J$2</definedName>
    <definedName name="solver_opt" localSheetId="3" hidden="1">'сценарий 3'!$J$2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2</definedName>
    <definedName name="solver_rbv" localSheetId="2" hidden="1">1</definedName>
    <definedName name="solver_rbv" localSheetId="3" hidden="1">1</definedName>
    <definedName name="solver_rel1" localSheetId="0" hidden="1">3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el2" localSheetId="0" hidden="1">3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3" localSheetId="0" hidden="1">3</definedName>
    <definedName name="solver_rhs1" localSheetId="0" hidden="1">0</definedName>
    <definedName name="solver_rhs1" localSheetId="1" hidden="1">0</definedName>
    <definedName name="solver_rhs1" localSheetId="2" hidden="1">0</definedName>
    <definedName name="solver_rhs1" localSheetId="3" hidden="1">0</definedName>
    <definedName name="solver_rhs2" localSheetId="0" hidden="1">0</definedName>
    <definedName name="solver_rhs2" localSheetId="1" hidden="1">0</definedName>
    <definedName name="solver_rhs2" localSheetId="2" hidden="1">0</definedName>
    <definedName name="solver_rhs2" localSheetId="3" hidden="1">0</definedName>
    <definedName name="solver_rhs3" localSheetId="0" hidden="1">0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2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4" l="1"/>
  <c r="D2" i="3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L10" i="4"/>
  <c r="C2" i="4" s="1"/>
  <c r="H10" i="4"/>
  <c r="L9" i="4"/>
  <c r="H9" i="4"/>
  <c r="H8" i="4"/>
  <c r="H7" i="4"/>
  <c r="H6" i="4"/>
  <c r="H5" i="4"/>
  <c r="H4" i="4"/>
  <c r="H3" i="4"/>
  <c r="H2" i="4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L10" i="3"/>
  <c r="H10" i="3"/>
  <c r="L9" i="3"/>
  <c r="E2" i="3" s="1"/>
  <c r="H9" i="3"/>
  <c r="L8" i="3"/>
  <c r="H8" i="3"/>
  <c r="H7" i="3"/>
  <c r="H6" i="3"/>
  <c r="H5" i="3"/>
  <c r="H4" i="3"/>
  <c r="H3" i="3"/>
  <c r="H2" i="3"/>
  <c r="C2" i="3"/>
  <c r="C3" i="3" s="1"/>
  <c r="C4" i="3" s="1"/>
  <c r="C5" i="3" s="1"/>
  <c r="C6" i="3" s="1"/>
  <c r="C7" i="3" s="1"/>
  <c r="C8" i="3" s="1"/>
  <c r="C9" i="3" s="1"/>
  <c r="D9" i="3" s="1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L10" i="2"/>
  <c r="H10" i="2"/>
  <c r="L9" i="2"/>
  <c r="H9" i="2"/>
  <c r="L8" i="2"/>
  <c r="H8" i="2"/>
  <c r="H7" i="2"/>
  <c r="H6" i="2"/>
  <c r="H5" i="2"/>
  <c r="H4" i="2"/>
  <c r="H3" i="2"/>
  <c r="H2" i="2"/>
  <c r="C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2" i="1"/>
  <c r="D2" i="1"/>
  <c r="C2" i="1"/>
  <c r="L10" i="1"/>
  <c r="L9" i="1"/>
  <c r="E2" i="1" s="1"/>
  <c r="G2" i="1" s="1"/>
  <c r="I2" i="1" s="1"/>
  <c r="L8" i="1"/>
  <c r="C3" i="1" s="1"/>
  <c r="D3" i="1" s="1"/>
  <c r="E3" i="1" l="1"/>
  <c r="C3" i="2"/>
  <c r="E9" i="3"/>
  <c r="D4" i="3"/>
  <c r="E4" i="3" s="1"/>
  <c r="D6" i="3"/>
  <c r="E6" i="3" s="1"/>
  <c r="D3" i="3"/>
  <c r="E3" i="3" s="1"/>
  <c r="D5" i="3"/>
  <c r="E5" i="3" s="1"/>
  <c r="D7" i="3"/>
  <c r="E7" i="3" s="1"/>
  <c r="D8" i="3"/>
  <c r="E8" i="3" s="1"/>
  <c r="C3" i="4"/>
  <c r="D2" i="4"/>
  <c r="G9" i="3"/>
  <c r="I9" i="3" s="1"/>
  <c r="C10" i="3"/>
  <c r="C4" i="2"/>
  <c r="D3" i="2"/>
  <c r="E3" i="2" s="1"/>
  <c r="D2" i="2"/>
  <c r="G3" i="1"/>
  <c r="I3" i="1" s="1"/>
  <c r="C4" i="1"/>
  <c r="G3" i="3" l="1"/>
  <c r="I3" i="3" s="1"/>
  <c r="G7" i="3"/>
  <c r="I7" i="3" s="1"/>
  <c r="G4" i="3"/>
  <c r="I4" i="3" s="1"/>
  <c r="G8" i="3"/>
  <c r="I8" i="3" s="1"/>
  <c r="G5" i="3"/>
  <c r="I5" i="3" s="1"/>
  <c r="G6" i="3"/>
  <c r="I6" i="3" s="1"/>
  <c r="E2" i="4"/>
  <c r="G2" i="4" s="1"/>
  <c r="I2" i="4" s="1"/>
  <c r="C4" i="4"/>
  <c r="D3" i="4"/>
  <c r="G2" i="3"/>
  <c r="I2" i="3" s="1"/>
  <c r="C11" i="3"/>
  <c r="D10" i="3"/>
  <c r="E10" i="3" s="1"/>
  <c r="E2" i="2"/>
  <c r="G2" i="2" s="1"/>
  <c r="I2" i="2" s="1"/>
  <c r="G3" i="2"/>
  <c r="I3" i="2" s="1"/>
  <c r="C5" i="2"/>
  <c r="D4" i="2"/>
  <c r="D4" i="1"/>
  <c r="C5" i="1"/>
  <c r="C5" i="4" l="1"/>
  <c r="D4" i="4"/>
  <c r="E3" i="4"/>
  <c r="G3" i="4" s="1"/>
  <c r="I3" i="4" s="1"/>
  <c r="G10" i="3"/>
  <c r="I10" i="3" s="1"/>
  <c r="D11" i="3"/>
  <c r="E11" i="3" s="1"/>
  <c r="C12" i="3"/>
  <c r="C6" i="2"/>
  <c r="D5" i="2"/>
  <c r="E4" i="2"/>
  <c r="G4" i="2" s="1"/>
  <c r="I4" i="2" s="1"/>
  <c r="E4" i="1"/>
  <c r="G4" i="1" s="1"/>
  <c r="I4" i="1" s="1"/>
  <c r="D5" i="1"/>
  <c r="C6" i="1"/>
  <c r="E4" i="4" l="1"/>
  <c r="G4" i="4" s="1"/>
  <c r="I4" i="4" s="1"/>
  <c r="C6" i="4"/>
  <c r="D5" i="4"/>
  <c r="D12" i="3"/>
  <c r="E12" i="3" s="1"/>
  <c r="C13" i="3"/>
  <c r="G11" i="3"/>
  <c r="I11" i="3" s="1"/>
  <c r="E5" i="2"/>
  <c r="G5" i="2" s="1"/>
  <c r="I5" i="2" s="1"/>
  <c r="C7" i="2"/>
  <c r="D6" i="2"/>
  <c r="E5" i="1"/>
  <c r="G5" i="1" s="1"/>
  <c r="I5" i="1" s="1"/>
  <c r="D6" i="1"/>
  <c r="C7" i="1"/>
  <c r="E5" i="4" l="1"/>
  <c r="G5" i="4" s="1"/>
  <c r="I5" i="4" s="1"/>
  <c r="C7" i="4"/>
  <c r="D6" i="4"/>
  <c r="D13" i="3"/>
  <c r="E13" i="3" s="1"/>
  <c r="C14" i="3"/>
  <c r="G12" i="3"/>
  <c r="I12" i="3" s="1"/>
  <c r="D7" i="2"/>
  <c r="C8" i="2"/>
  <c r="E6" i="2"/>
  <c r="G6" i="2" s="1"/>
  <c r="I6" i="2" s="1"/>
  <c r="E6" i="1"/>
  <c r="G6" i="1" s="1"/>
  <c r="I6" i="1" s="1"/>
  <c r="C8" i="1"/>
  <c r="D7" i="1"/>
  <c r="E6" i="4" l="1"/>
  <c r="G6" i="4" s="1"/>
  <c r="I6" i="4" s="1"/>
  <c r="C8" i="4"/>
  <c r="D7" i="4"/>
  <c r="D14" i="3"/>
  <c r="E14" i="3" s="1"/>
  <c r="C15" i="3"/>
  <c r="G13" i="3"/>
  <c r="I13" i="3" s="1"/>
  <c r="C9" i="2"/>
  <c r="D8" i="2"/>
  <c r="E7" i="2"/>
  <c r="G7" i="2" s="1"/>
  <c r="I7" i="2" s="1"/>
  <c r="E7" i="1"/>
  <c r="G7" i="1" s="1"/>
  <c r="I7" i="1" s="1"/>
  <c r="C9" i="1"/>
  <c r="D8" i="1"/>
  <c r="C9" i="4" l="1"/>
  <c r="D8" i="4"/>
  <c r="E7" i="4"/>
  <c r="G7" i="4" s="1"/>
  <c r="I7" i="4" s="1"/>
  <c r="D15" i="3"/>
  <c r="E15" i="3" s="1"/>
  <c r="C16" i="3"/>
  <c r="G14" i="3"/>
  <c r="I14" i="3" s="1"/>
  <c r="E8" i="2"/>
  <c r="G8" i="2" s="1"/>
  <c r="I8" i="2" s="1"/>
  <c r="D9" i="2"/>
  <c r="C10" i="2"/>
  <c r="E8" i="1"/>
  <c r="G8" i="1" s="1"/>
  <c r="I8" i="1" s="1"/>
  <c r="C10" i="1"/>
  <c r="D9" i="1"/>
  <c r="E8" i="4" l="1"/>
  <c r="G8" i="4" s="1"/>
  <c r="I8" i="4" s="1"/>
  <c r="D9" i="4"/>
  <c r="C10" i="4"/>
  <c r="D16" i="3"/>
  <c r="E16" i="3" s="1"/>
  <c r="C17" i="3"/>
  <c r="G15" i="3"/>
  <c r="I15" i="3" s="1"/>
  <c r="C11" i="2"/>
  <c r="D10" i="2"/>
  <c r="E9" i="2"/>
  <c r="G9" i="2" s="1"/>
  <c r="I9" i="2" s="1"/>
  <c r="E9" i="1"/>
  <c r="G9" i="1" s="1"/>
  <c r="I9" i="1" s="1"/>
  <c r="C11" i="1"/>
  <c r="D10" i="1"/>
  <c r="E9" i="4" l="1"/>
  <c r="G9" i="4" s="1"/>
  <c r="I9" i="4" s="1"/>
  <c r="D10" i="4"/>
  <c r="C11" i="4"/>
  <c r="D17" i="3"/>
  <c r="E17" i="3" s="1"/>
  <c r="C18" i="3"/>
  <c r="G16" i="3"/>
  <c r="I16" i="3" s="1"/>
  <c r="D11" i="2"/>
  <c r="C12" i="2"/>
  <c r="E10" i="2"/>
  <c r="G10" i="2" s="1"/>
  <c r="I10" i="2" s="1"/>
  <c r="E10" i="1"/>
  <c r="G10" i="1" s="1"/>
  <c r="I10" i="1" s="1"/>
  <c r="C12" i="1"/>
  <c r="D11" i="1"/>
  <c r="D11" i="4" l="1"/>
  <c r="C12" i="4"/>
  <c r="E10" i="4"/>
  <c r="G10" i="4" s="1"/>
  <c r="I10" i="4" s="1"/>
  <c r="D18" i="3"/>
  <c r="E18" i="3" s="1"/>
  <c r="C19" i="3"/>
  <c r="G17" i="3"/>
  <c r="I17" i="3" s="1"/>
  <c r="D12" i="2"/>
  <c r="C13" i="2"/>
  <c r="E11" i="2"/>
  <c r="G11" i="2" s="1"/>
  <c r="I11" i="2" s="1"/>
  <c r="E11" i="1"/>
  <c r="G11" i="1" s="1"/>
  <c r="I11" i="1" s="1"/>
  <c r="C13" i="1"/>
  <c r="D12" i="1"/>
  <c r="C13" i="4" l="1"/>
  <c r="D12" i="4"/>
  <c r="E11" i="4"/>
  <c r="G11" i="4" s="1"/>
  <c r="I11" i="4" s="1"/>
  <c r="D19" i="3"/>
  <c r="E19" i="3" s="1"/>
  <c r="C20" i="3"/>
  <c r="G18" i="3"/>
  <c r="I18" i="3" s="1"/>
  <c r="D13" i="2"/>
  <c r="C14" i="2"/>
  <c r="E12" i="2"/>
  <c r="G12" i="2" s="1"/>
  <c r="I12" i="2" s="1"/>
  <c r="E12" i="1"/>
  <c r="G12" i="1" s="1"/>
  <c r="I12" i="1" s="1"/>
  <c r="C14" i="1"/>
  <c r="D13" i="1"/>
  <c r="E12" i="4" l="1"/>
  <c r="G12" i="4" s="1"/>
  <c r="I12" i="4" s="1"/>
  <c r="D13" i="4"/>
  <c r="C14" i="4"/>
  <c r="D20" i="3"/>
  <c r="E20" i="3" s="1"/>
  <c r="C21" i="3"/>
  <c r="G19" i="3"/>
  <c r="I19" i="3" s="1"/>
  <c r="D14" i="2"/>
  <c r="C15" i="2"/>
  <c r="E13" i="2"/>
  <c r="G13" i="2" s="1"/>
  <c r="I13" i="2" s="1"/>
  <c r="E13" i="1"/>
  <c r="G13" i="1" s="1"/>
  <c r="I13" i="1" s="1"/>
  <c r="C15" i="1"/>
  <c r="D14" i="1"/>
  <c r="C15" i="4" l="1"/>
  <c r="D14" i="4"/>
  <c r="E13" i="4"/>
  <c r="G13" i="4" s="1"/>
  <c r="I13" i="4" s="1"/>
  <c r="D21" i="3"/>
  <c r="E21" i="3" s="1"/>
  <c r="C22" i="3"/>
  <c r="G20" i="3"/>
  <c r="I20" i="3" s="1"/>
  <c r="D15" i="2"/>
  <c r="C16" i="2"/>
  <c r="E14" i="2"/>
  <c r="G14" i="2" s="1"/>
  <c r="I14" i="2" s="1"/>
  <c r="E14" i="1"/>
  <c r="G14" i="1" s="1"/>
  <c r="I14" i="1" s="1"/>
  <c r="C16" i="1"/>
  <c r="D15" i="1"/>
  <c r="E14" i="4" l="1"/>
  <c r="G14" i="4" s="1"/>
  <c r="I14" i="4" s="1"/>
  <c r="D15" i="4"/>
  <c r="C16" i="4"/>
  <c r="D22" i="3"/>
  <c r="E22" i="3" s="1"/>
  <c r="C23" i="3"/>
  <c r="G21" i="3"/>
  <c r="I21" i="3" s="1"/>
  <c r="D16" i="2"/>
  <c r="C17" i="2"/>
  <c r="E15" i="2"/>
  <c r="G15" i="2" s="1"/>
  <c r="I15" i="2" s="1"/>
  <c r="E15" i="1"/>
  <c r="G15" i="1" s="1"/>
  <c r="I15" i="1" s="1"/>
  <c r="C17" i="1"/>
  <c r="D16" i="1"/>
  <c r="C17" i="4" l="1"/>
  <c r="D16" i="4"/>
  <c r="E15" i="4"/>
  <c r="G15" i="4" s="1"/>
  <c r="I15" i="4" s="1"/>
  <c r="D23" i="3"/>
  <c r="E23" i="3" s="1"/>
  <c r="C24" i="3"/>
  <c r="G22" i="3"/>
  <c r="I22" i="3" s="1"/>
  <c r="D17" i="2"/>
  <c r="C18" i="2"/>
  <c r="E16" i="2"/>
  <c r="G16" i="2" s="1"/>
  <c r="I16" i="2" s="1"/>
  <c r="E16" i="1"/>
  <c r="G16" i="1" s="1"/>
  <c r="I16" i="1" s="1"/>
  <c r="C18" i="1"/>
  <c r="D17" i="1"/>
  <c r="E16" i="4" l="1"/>
  <c r="G16" i="4" s="1"/>
  <c r="I16" i="4" s="1"/>
  <c r="D17" i="4"/>
  <c r="C18" i="4"/>
  <c r="D24" i="3"/>
  <c r="E24" i="3" s="1"/>
  <c r="C25" i="3"/>
  <c r="G23" i="3"/>
  <c r="I23" i="3" s="1"/>
  <c r="D18" i="2"/>
  <c r="C19" i="2"/>
  <c r="E17" i="2"/>
  <c r="G17" i="2" s="1"/>
  <c r="I17" i="2" s="1"/>
  <c r="E17" i="1"/>
  <c r="G17" i="1" s="1"/>
  <c r="I17" i="1" s="1"/>
  <c r="C19" i="1"/>
  <c r="D18" i="1"/>
  <c r="C19" i="4" l="1"/>
  <c r="D18" i="4"/>
  <c r="E17" i="4"/>
  <c r="G17" i="4" s="1"/>
  <c r="I17" i="4" s="1"/>
  <c r="D25" i="3"/>
  <c r="E25" i="3" s="1"/>
  <c r="C26" i="3"/>
  <c r="G24" i="3"/>
  <c r="I24" i="3" s="1"/>
  <c r="D19" i="2"/>
  <c r="C20" i="2"/>
  <c r="E18" i="2"/>
  <c r="G18" i="2" s="1"/>
  <c r="I18" i="2" s="1"/>
  <c r="E18" i="1"/>
  <c r="G18" i="1" s="1"/>
  <c r="I18" i="1" s="1"/>
  <c r="C20" i="1"/>
  <c r="D19" i="1"/>
  <c r="E18" i="4" l="1"/>
  <c r="G18" i="4" s="1"/>
  <c r="I18" i="4" s="1"/>
  <c r="D19" i="4"/>
  <c r="C20" i="4"/>
  <c r="D26" i="3"/>
  <c r="E26" i="3" s="1"/>
  <c r="C27" i="3"/>
  <c r="G25" i="3"/>
  <c r="I25" i="3" s="1"/>
  <c r="D20" i="2"/>
  <c r="C21" i="2"/>
  <c r="E19" i="2"/>
  <c r="G19" i="2" s="1"/>
  <c r="I19" i="2" s="1"/>
  <c r="E19" i="1"/>
  <c r="G19" i="1" s="1"/>
  <c r="I19" i="1" s="1"/>
  <c r="C21" i="1"/>
  <c r="D20" i="1"/>
  <c r="C21" i="4" l="1"/>
  <c r="D20" i="4"/>
  <c r="E19" i="4"/>
  <c r="G19" i="4" s="1"/>
  <c r="I19" i="4" s="1"/>
  <c r="G26" i="3"/>
  <c r="I26" i="3" s="1"/>
  <c r="D27" i="3"/>
  <c r="E27" i="3" s="1"/>
  <c r="C28" i="3"/>
  <c r="D21" i="2"/>
  <c r="C22" i="2"/>
  <c r="E20" i="2"/>
  <c r="G20" i="2" s="1"/>
  <c r="I20" i="2" s="1"/>
  <c r="E20" i="1"/>
  <c r="G20" i="1" s="1"/>
  <c r="I20" i="1" s="1"/>
  <c r="C22" i="1"/>
  <c r="D21" i="1"/>
  <c r="E20" i="4" l="1"/>
  <c r="G20" i="4" s="1"/>
  <c r="I20" i="4" s="1"/>
  <c r="D21" i="4"/>
  <c r="C22" i="4"/>
  <c r="D28" i="3"/>
  <c r="E28" i="3" s="1"/>
  <c r="C29" i="3"/>
  <c r="G27" i="3"/>
  <c r="I27" i="3" s="1"/>
  <c r="D22" i="2"/>
  <c r="C23" i="2"/>
  <c r="E21" i="2"/>
  <c r="G21" i="2" s="1"/>
  <c r="I21" i="2" s="1"/>
  <c r="E21" i="1"/>
  <c r="G21" i="1" s="1"/>
  <c r="I21" i="1" s="1"/>
  <c r="C23" i="1"/>
  <c r="D22" i="1"/>
  <c r="E21" i="4" l="1"/>
  <c r="G21" i="4" s="1"/>
  <c r="I21" i="4" s="1"/>
  <c r="C23" i="4"/>
  <c r="D22" i="4"/>
  <c r="D29" i="3"/>
  <c r="E29" i="3" s="1"/>
  <c r="C30" i="3"/>
  <c r="G28" i="3"/>
  <c r="I28" i="3" s="1"/>
  <c r="D23" i="2"/>
  <c r="C24" i="2"/>
  <c r="E22" i="2"/>
  <c r="G22" i="2" s="1"/>
  <c r="I22" i="2" s="1"/>
  <c r="E22" i="1"/>
  <c r="G22" i="1" s="1"/>
  <c r="I22" i="1" s="1"/>
  <c r="C24" i="1"/>
  <c r="D23" i="1"/>
  <c r="D23" i="4" l="1"/>
  <c r="C24" i="4"/>
  <c r="E22" i="4"/>
  <c r="G22" i="4" s="1"/>
  <c r="I22" i="4" s="1"/>
  <c r="D30" i="3"/>
  <c r="E30" i="3" s="1"/>
  <c r="C31" i="3"/>
  <c r="G29" i="3"/>
  <c r="I29" i="3" s="1"/>
  <c r="D24" i="2"/>
  <c r="C25" i="2"/>
  <c r="E23" i="2"/>
  <c r="G23" i="2" s="1"/>
  <c r="I23" i="2" s="1"/>
  <c r="E23" i="1"/>
  <c r="G23" i="1" s="1"/>
  <c r="I23" i="1" s="1"/>
  <c r="C25" i="1"/>
  <c r="D24" i="1"/>
  <c r="C25" i="4" l="1"/>
  <c r="D24" i="4"/>
  <c r="E23" i="4"/>
  <c r="G23" i="4" s="1"/>
  <c r="I23" i="4" s="1"/>
  <c r="D31" i="3"/>
  <c r="E31" i="3" s="1"/>
  <c r="C32" i="3"/>
  <c r="G30" i="3"/>
  <c r="I30" i="3" s="1"/>
  <c r="D25" i="2"/>
  <c r="C26" i="2"/>
  <c r="E24" i="2"/>
  <c r="G24" i="2" s="1"/>
  <c r="I24" i="2" s="1"/>
  <c r="E24" i="1"/>
  <c r="G24" i="1" s="1"/>
  <c r="I24" i="1" s="1"/>
  <c r="C26" i="1"/>
  <c r="D25" i="1"/>
  <c r="E24" i="4" l="1"/>
  <c r="G24" i="4" s="1"/>
  <c r="I24" i="4" s="1"/>
  <c r="D25" i="4"/>
  <c r="C26" i="4"/>
  <c r="D32" i="3"/>
  <c r="E32" i="3" s="1"/>
  <c r="C33" i="3"/>
  <c r="G31" i="3"/>
  <c r="I31" i="3" s="1"/>
  <c r="D26" i="2"/>
  <c r="C27" i="2"/>
  <c r="E25" i="2"/>
  <c r="G25" i="2" s="1"/>
  <c r="I25" i="2" s="1"/>
  <c r="E25" i="1"/>
  <c r="G25" i="1" s="1"/>
  <c r="I25" i="1" s="1"/>
  <c r="C27" i="1"/>
  <c r="D26" i="1"/>
  <c r="D26" i="4" l="1"/>
  <c r="C27" i="4"/>
  <c r="E25" i="4"/>
  <c r="G25" i="4" s="1"/>
  <c r="I25" i="4" s="1"/>
  <c r="D33" i="3"/>
  <c r="E33" i="3" s="1"/>
  <c r="C34" i="3"/>
  <c r="G32" i="3"/>
  <c r="I32" i="3" s="1"/>
  <c r="D27" i="2"/>
  <c r="C28" i="2"/>
  <c r="E26" i="2"/>
  <c r="G26" i="2" s="1"/>
  <c r="I26" i="2" s="1"/>
  <c r="E26" i="1"/>
  <c r="G26" i="1" s="1"/>
  <c r="I26" i="1" s="1"/>
  <c r="C28" i="1"/>
  <c r="D27" i="1"/>
  <c r="D27" i="4" l="1"/>
  <c r="C28" i="4"/>
  <c r="E26" i="4"/>
  <c r="G26" i="4" s="1"/>
  <c r="I26" i="4" s="1"/>
  <c r="D34" i="3"/>
  <c r="E34" i="3" s="1"/>
  <c r="C35" i="3"/>
  <c r="G33" i="3"/>
  <c r="I33" i="3" s="1"/>
  <c r="D28" i="2"/>
  <c r="C29" i="2"/>
  <c r="E27" i="2"/>
  <c r="G27" i="2" s="1"/>
  <c r="I27" i="2" s="1"/>
  <c r="E27" i="1"/>
  <c r="G27" i="1" s="1"/>
  <c r="I27" i="1" s="1"/>
  <c r="C29" i="1"/>
  <c r="D28" i="1"/>
  <c r="D28" i="4" l="1"/>
  <c r="C29" i="4"/>
  <c r="E27" i="4"/>
  <c r="G27" i="4" s="1"/>
  <c r="I27" i="4" s="1"/>
  <c r="D35" i="3"/>
  <c r="E35" i="3" s="1"/>
  <c r="C36" i="3"/>
  <c r="G34" i="3"/>
  <c r="I34" i="3" s="1"/>
  <c r="D29" i="2"/>
  <c r="C30" i="2"/>
  <c r="E28" i="2"/>
  <c r="G28" i="2" s="1"/>
  <c r="I28" i="2" s="1"/>
  <c r="E28" i="1"/>
  <c r="G28" i="1" s="1"/>
  <c r="I28" i="1" s="1"/>
  <c r="C30" i="1"/>
  <c r="D29" i="1"/>
  <c r="D29" i="4" l="1"/>
  <c r="C30" i="4"/>
  <c r="E28" i="4"/>
  <c r="G28" i="4" s="1"/>
  <c r="I28" i="4" s="1"/>
  <c r="D36" i="3"/>
  <c r="E36" i="3" s="1"/>
  <c r="C37" i="3"/>
  <c r="G35" i="3"/>
  <c r="I35" i="3" s="1"/>
  <c r="D30" i="2"/>
  <c r="C31" i="2"/>
  <c r="E29" i="2"/>
  <c r="G29" i="2" s="1"/>
  <c r="I29" i="2" s="1"/>
  <c r="E29" i="1"/>
  <c r="G29" i="1" s="1"/>
  <c r="I29" i="1" s="1"/>
  <c r="C31" i="1"/>
  <c r="D30" i="1"/>
  <c r="D30" i="4" l="1"/>
  <c r="C31" i="4"/>
  <c r="E29" i="4"/>
  <c r="G29" i="4" s="1"/>
  <c r="I29" i="4" s="1"/>
  <c r="D37" i="3"/>
  <c r="E37" i="3" s="1"/>
  <c r="C38" i="3"/>
  <c r="G36" i="3"/>
  <c r="I36" i="3" s="1"/>
  <c r="D31" i="2"/>
  <c r="C32" i="2"/>
  <c r="E30" i="2"/>
  <c r="G30" i="2" s="1"/>
  <c r="I30" i="2" s="1"/>
  <c r="E30" i="1"/>
  <c r="G30" i="1" s="1"/>
  <c r="I30" i="1" s="1"/>
  <c r="C32" i="1"/>
  <c r="D31" i="1"/>
  <c r="D31" i="4" l="1"/>
  <c r="C32" i="4"/>
  <c r="E30" i="4"/>
  <c r="G30" i="4" s="1"/>
  <c r="I30" i="4" s="1"/>
  <c r="D38" i="3"/>
  <c r="E38" i="3" s="1"/>
  <c r="C39" i="3"/>
  <c r="G37" i="3"/>
  <c r="I37" i="3" s="1"/>
  <c r="D32" i="2"/>
  <c r="C33" i="2"/>
  <c r="E31" i="2"/>
  <c r="G31" i="2" s="1"/>
  <c r="I31" i="2" s="1"/>
  <c r="E31" i="1"/>
  <c r="G31" i="1" s="1"/>
  <c r="I31" i="1" s="1"/>
  <c r="C33" i="1"/>
  <c r="D32" i="1"/>
  <c r="D32" i="4" l="1"/>
  <c r="C33" i="4"/>
  <c r="E31" i="4"/>
  <c r="G31" i="4" s="1"/>
  <c r="I31" i="4" s="1"/>
  <c r="D39" i="3"/>
  <c r="E39" i="3" s="1"/>
  <c r="C40" i="3"/>
  <c r="G38" i="3"/>
  <c r="I38" i="3" s="1"/>
  <c r="D33" i="2"/>
  <c r="C34" i="2"/>
  <c r="E32" i="2"/>
  <c r="G32" i="2" s="1"/>
  <c r="I32" i="2" s="1"/>
  <c r="E32" i="1"/>
  <c r="G32" i="1" s="1"/>
  <c r="I32" i="1" s="1"/>
  <c r="C34" i="1"/>
  <c r="D33" i="1"/>
  <c r="D33" i="4" l="1"/>
  <c r="C34" i="4"/>
  <c r="E32" i="4"/>
  <c r="G32" i="4" s="1"/>
  <c r="I32" i="4" s="1"/>
  <c r="D40" i="3"/>
  <c r="E40" i="3" s="1"/>
  <c r="C41" i="3"/>
  <c r="G39" i="3"/>
  <c r="I39" i="3" s="1"/>
  <c r="D34" i="2"/>
  <c r="C35" i="2"/>
  <c r="E33" i="2"/>
  <c r="G33" i="2" s="1"/>
  <c r="I33" i="2" s="1"/>
  <c r="E33" i="1"/>
  <c r="G33" i="1" s="1"/>
  <c r="I33" i="1" s="1"/>
  <c r="C35" i="1"/>
  <c r="D34" i="1"/>
  <c r="D34" i="4" l="1"/>
  <c r="C35" i="4"/>
  <c r="E33" i="4"/>
  <c r="G33" i="4" s="1"/>
  <c r="I33" i="4" s="1"/>
  <c r="D41" i="3"/>
  <c r="E41" i="3" s="1"/>
  <c r="C42" i="3"/>
  <c r="G40" i="3"/>
  <c r="I40" i="3" s="1"/>
  <c r="D35" i="2"/>
  <c r="C36" i="2"/>
  <c r="E34" i="2"/>
  <c r="G34" i="2" s="1"/>
  <c r="I34" i="2" s="1"/>
  <c r="E34" i="1"/>
  <c r="G34" i="1" s="1"/>
  <c r="I34" i="1" s="1"/>
  <c r="C36" i="1"/>
  <c r="D35" i="1"/>
  <c r="D35" i="4" l="1"/>
  <c r="C36" i="4"/>
  <c r="E34" i="4"/>
  <c r="G34" i="4" s="1"/>
  <c r="I34" i="4" s="1"/>
  <c r="D42" i="3"/>
  <c r="E42" i="3" s="1"/>
  <c r="C43" i="3"/>
  <c r="G41" i="3"/>
  <c r="I41" i="3" s="1"/>
  <c r="D36" i="2"/>
  <c r="C37" i="2"/>
  <c r="E35" i="2"/>
  <c r="G35" i="2" s="1"/>
  <c r="I35" i="2" s="1"/>
  <c r="E35" i="1"/>
  <c r="G35" i="1" s="1"/>
  <c r="I35" i="1" s="1"/>
  <c r="C37" i="1"/>
  <c r="D36" i="1"/>
  <c r="D36" i="4" l="1"/>
  <c r="C37" i="4"/>
  <c r="E35" i="4"/>
  <c r="G35" i="4" s="1"/>
  <c r="I35" i="4" s="1"/>
  <c r="D43" i="3"/>
  <c r="E43" i="3" s="1"/>
  <c r="C44" i="3"/>
  <c r="G42" i="3"/>
  <c r="I42" i="3" s="1"/>
  <c r="D37" i="2"/>
  <c r="C38" i="2"/>
  <c r="E36" i="2"/>
  <c r="G36" i="2" s="1"/>
  <c r="I36" i="2" s="1"/>
  <c r="E36" i="1"/>
  <c r="G36" i="1" s="1"/>
  <c r="I36" i="1" s="1"/>
  <c r="C38" i="1"/>
  <c r="D37" i="1"/>
  <c r="E36" i="4" l="1"/>
  <c r="G36" i="4" s="1"/>
  <c r="I36" i="4" s="1"/>
  <c r="D37" i="4"/>
  <c r="C38" i="4"/>
  <c r="D44" i="3"/>
  <c r="E44" i="3" s="1"/>
  <c r="C45" i="3"/>
  <c r="G43" i="3"/>
  <c r="I43" i="3" s="1"/>
  <c r="D38" i="2"/>
  <c r="C39" i="2"/>
  <c r="E37" i="2"/>
  <c r="G37" i="2" s="1"/>
  <c r="I37" i="2" s="1"/>
  <c r="E37" i="1"/>
  <c r="G37" i="1" s="1"/>
  <c r="I37" i="1" s="1"/>
  <c r="C39" i="1"/>
  <c r="D38" i="1"/>
  <c r="D38" i="4" l="1"/>
  <c r="C39" i="4"/>
  <c r="E37" i="4"/>
  <c r="G37" i="4" s="1"/>
  <c r="I37" i="4" s="1"/>
  <c r="D45" i="3"/>
  <c r="E45" i="3" s="1"/>
  <c r="C46" i="3"/>
  <c r="G44" i="3"/>
  <c r="I44" i="3" s="1"/>
  <c r="D39" i="2"/>
  <c r="C40" i="2"/>
  <c r="E38" i="2"/>
  <c r="G38" i="2" s="1"/>
  <c r="I38" i="2" s="1"/>
  <c r="E38" i="1"/>
  <c r="G38" i="1" s="1"/>
  <c r="I38" i="1" s="1"/>
  <c r="C40" i="1"/>
  <c r="D39" i="1"/>
  <c r="D39" i="4" l="1"/>
  <c r="C40" i="4"/>
  <c r="E38" i="4"/>
  <c r="G38" i="4" s="1"/>
  <c r="I38" i="4" s="1"/>
  <c r="G45" i="3"/>
  <c r="I45" i="3" s="1"/>
  <c r="D46" i="3"/>
  <c r="E46" i="3" s="1"/>
  <c r="C47" i="3"/>
  <c r="D40" i="2"/>
  <c r="C41" i="2"/>
  <c r="E39" i="2"/>
  <c r="G39" i="2" s="1"/>
  <c r="I39" i="2" s="1"/>
  <c r="E39" i="1"/>
  <c r="G39" i="1" s="1"/>
  <c r="I39" i="1" s="1"/>
  <c r="C41" i="1"/>
  <c r="D40" i="1"/>
  <c r="D40" i="4" l="1"/>
  <c r="C41" i="4"/>
  <c r="E39" i="4"/>
  <c r="G39" i="4" s="1"/>
  <c r="I39" i="4" s="1"/>
  <c r="D47" i="3"/>
  <c r="E47" i="3" s="1"/>
  <c r="C48" i="3"/>
  <c r="G46" i="3"/>
  <c r="I46" i="3" s="1"/>
  <c r="D41" i="2"/>
  <c r="C42" i="2"/>
  <c r="E40" i="2"/>
  <c r="G40" i="2" s="1"/>
  <c r="I40" i="2" s="1"/>
  <c r="E40" i="1"/>
  <c r="G40" i="1" s="1"/>
  <c r="I40" i="1" s="1"/>
  <c r="C42" i="1"/>
  <c r="D41" i="1"/>
  <c r="D41" i="4" l="1"/>
  <c r="C42" i="4"/>
  <c r="E40" i="4"/>
  <c r="G40" i="4" s="1"/>
  <c r="I40" i="4" s="1"/>
  <c r="D48" i="3"/>
  <c r="E48" i="3" s="1"/>
  <c r="C49" i="3"/>
  <c r="G47" i="3"/>
  <c r="I47" i="3" s="1"/>
  <c r="D42" i="2"/>
  <c r="C43" i="2"/>
  <c r="E41" i="2"/>
  <c r="G41" i="2" s="1"/>
  <c r="I41" i="2" s="1"/>
  <c r="E41" i="1"/>
  <c r="G41" i="1" s="1"/>
  <c r="I41" i="1" s="1"/>
  <c r="C43" i="1"/>
  <c r="D42" i="1"/>
  <c r="D42" i="4" l="1"/>
  <c r="C43" i="4"/>
  <c r="E41" i="4"/>
  <c r="G41" i="4" s="1"/>
  <c r="I41" i="4" s="1"/>
  <c r="D49" i="3"/>
  <c r="E49" i="3" s="1"/>
  <c r="C50" i="3"/>
  <c r="G48" i="3"/>
  <c r="I48" i="3" s="1"/>
  <c r="D43" i="2"/>
  <c r="C44" i="2"/>
  <c r="E42" i="2"/>
  <c r="G42" i="2" s="1"/>
  <c r="I42" i="2" s="1"/>
  <c r="E42" i="1"/>
  <c r="G42" i="1" s="1"/>
  <c r="I42" i="1" s="1"/>
  <c r="C44" i="1"/>
  <c r="D43" i="1"/>
  <c r="D43" i="4" l="1"/>
  <c r="C44" i="4"/>
  <c r="E42" i="4"/>
  <c r="G42" i="4" s="1"/>
  <c r="I42" i="4" s="1"/>
  <c r="G49" i="3"/>
  <c r="I49" i="3" s="1"/>
  <c r="D50" i="3"/>
  <c r="E50" i="3" s="1"/>
  <c r="C51" i="3"/>
  <c r="D44" i="2"/>
  <c r="C45" i="2"/>
  <c r="E43" i="2"/>
  <c r="G43" i="2" s="1"/>
  <c r="I43" i="2" s="1"/>
  <c r="E43" i="1"/>
  <c r="G43" i="1" s="1"/>
  <c r="I43" i="1" s="1"/>
  <c r="C45" i="1"/>
  <c r="D44" i="1"/>
  <c r="D44" i="4" l="1"/>
  <c r="C45" i="4"/>
  <c r="E43" i="4"/>
  <c r="G43" i="4" s="1"/>
  <c r="I43" i="4" s="1"/>
  <c r="D51" i="3"/>
  <c r="E51" i="3" s="1"/>
  <c r="C52" i="3"/>
  <c r="G50" i="3"/>
  <c r="I50" i="3" s="1"/>
  <c r="D45" i="2"/>
  <c r="C46" i="2"/>
  <c r="E44" i="2"/>
  <c r="G44" i="2" s="1"/>
  <c r="I44" i="2" s="1"/>
  <c r="E44" i="1"/>
  <c r="G44" i="1" s="1"/>
  <c r="I44" i="1" s="1"/>
  <c r="C46" i="1"/>
  <c r="D45" i="1"/>
  <c r="D45" i="4" l="1"/>
  <c r="C46" i="4"/>
  <c r="E44" i="4"/>
  <c r="G44" i="4" s="1"/>
  <c r="I44" i="4" s="1"/>
  <c r="D52" i="3"/>
  <c r="E52" i="3" s="1"/>
  <c r="C53" i="3"/>
  <c r="G51" i="3"/>
  <c r="I51" i="3" s="1"/>
  <c r="D46" i="2"/>
  <c r="C47" i="2"/>
  <c r="E45" i="2"/>
  <c r="G45" i="2" s="1"/>
  <c r="I45" i="2" s="1"/>
  <c r="E45" i="1"/>
  <c r="G45" i="1" s="1"/>
  <c r="I45" i="1" s="1"/>
  <c r="C47" i="1"/>
  <c r="D46" i="1"/>
  <c r="D46" i="4" l="1"/>
  <c r="C47" i="4"/>
  <c r="E45" i="4"/>
  <c r="G45" i="4" s="1"/>
  <c r="I45" i="4" s="1"/>
  <c r="D53" i="3"/>
  <c r="E53" i="3" s="1"/>
  <c r="C54" i="3"/>
  <c r="G52" i="3"/>
  <c r="I52" i="3" s="1"/>
  <c r="D47" i="2"/>
  <c r="C48" i="2"/>
  <c r="E46" i="2"/>
  <c r="G46" i="2" s="1"/>
  <c r="I46" i="2" s="1"/>
  <c r="E46" i="1"/>
  <c r="G46" i="1" s="1"/>
  <c r="I46" i="1" s="1"/>
  <c r="C48" i="1"/>
  <c r="D47" i="1"/>
  <c r="D47" i="4" l="1"/>
  <c r="C48" i="4"/>
  <c r="E46" i="4"/>
  <c r="G46" i="4" s="1"/>
  <c r="I46" i="4" s="1"/>
  <c r="D54" i="3"/>
  <c r="E54" i="3" s="1"/>
  <c r="C55" i="3"/>
  <c r="G53" i="3"/>
  <c r="I53" i="3" s="1"/>
  <c r="D48" i="2"/>
  <c r="C49" i="2"/>
  <c r="E47" i="2"/>
  <c r="G47" i="2" s="1"/>
  <c r="I47" i="2" s="1"/>
  <c r="E47" i="1"/>
  <c r="G47" i="1" s="1"/>
  <c r="I47" i="1" s="1"/>
  <c r="C49" i="1"/>
  <c r="D48" i="1"/>
  <c r="D48" i="4" l="1"/>
  <c r="C49" i="4"/>
  <c r="E47" i="4"/>
  <c r="G47" i="4" s="1"/>
  <c r="I47" i="4" s="1"/>
  <c r="D55" i="3"/>
  <c r="E55" i="3" s="1"/>
  <c r="C56" i="3"/>
  <c r="G54" i="3"/>
  <c r="I54" i="3" s="1"/>
  <c r="D49" i="2"/>
  <c r="C50" i="2"/>
  <c r="E48" i="2"/>
  <c r="G48" i="2" s="1"/>
  <c r="I48" i="2" s="1"/>
  <c r="E48" i="1"/>
  <c r="G48" i="1" s="1"/>
  <c r="I48" i="1" s="1"/>
  <c r="C50" i="1"/>
  <c r="D49" i="1"/>
  <c r="D49" i="4" l="1"/>
  <c r="C50" i="4"/>
  <c r="E48" i="4"/>
  <c r="G48" i="4" s="1"/>
  <c r="I48" i="4" s="1"/>
  <c r="D56" i="3"/>
  <c r="E56" i="3" s="1"/>
  <c r="C57" i="3"/>
  <c r="G55" i="3"/>
  <c r="I55" i="3" s="1"/>
  <c r="D50" i="2"/>
  <c r="C51" i="2"/>
  <c r="E49" i="2"/>
  <c r="G49" i="2" s="1"/>
  <c r="I49" i="2" s="1"/>
  <c r="E49" i="1"/>
  <c r="G49" i="1" s="1"/>
  <c r="I49" i="1" s="1"/>
  <c r="C51" i="1"/>
  <c r="D50" i="1"/>
  <c r="D50" i="4" l="1"/>
  <c r="C51" i="4"/>
  <c r="E49" i="4"/>
  <c r="G49" i="4" s="1"/>
  <c r="I49" i="4" s="1"/>
  <c r="D57" i="3"/>
  <c r="E57" i="3" s="1"/>
  <c r="C58" i="3"/>
  <c r="G56" i="3"/>
  <c r="I56" i="3" s="1"/>
  <c r="D51" i="2"/>
  <c r="C52" i="2"/>
  <c r="E50" i="2"/>
  <c r="G50" i="2" s="1"/>
  <c r="I50" i="2" s="1"/>
  <c r="E50" i="1"/>
  <c r="G50" i="1" s="1"/>
  <c r="I50" i="1" s="1"/>
  <c r="C52" i="1"/>
  <c r="D51" i="1"/>
  <c r="D51" i="4" l="1"/>
  <c r="C52" i="4"/>
  <c r="E50" i="4"/>
  <c r="G50" i="4" s="1"/>
  <c r="I50" i="4" s="1"/>
  <c r="D58" i="3"/>
  <c r="E58" i="3" s="1"/>
  <c r="C59" i="3"/>
  <c r="G57" i="3"/>
  <c r="I57" i="3" s="1"/>
  <c r="D52" i="2"/>
  <c r="C53" i="2"/>
  <c r="E51" i="2"/>
  <c r="G51" i="2" s="1"/>
  <c r="I51" i="2" s="1"/>
  <c r="E51" i="1"/>
  <c r="G51" i="1" s="1"/>
  <c r="I51" i="1" s="1"/>
  <c r="C53" i="1"/>
  <c r="D52" i="1"/>
  <c r="D52" i="4" l="1"/>
  <c r="C53" i="4"/>
  <c r="E51" i="4"/>
  <c r="G51" i="4" s="1"/>
  <c r="I51" i="4" s="1"/>
  <c r="D59" i="3"/>
  <c r="E59" i="3" s="1"/>
  <c r="C60" i="3"/>
  <c r="G58" i="3"/>
  <c r="I58" i="3" s="1"/>
  <c r="D53" i="2"/>
  <c r="C54" i="2"/>
  <c r="E52" i="2"/>
  <c r="G52" i="2" s="1"/>
  <c r="I52" i="2" s="1"/>
  <c r="E52" i="1"/>
  <c r="G52" i="1" s="1"/>
  <c r="I52" i="1" s="1"/>
  <c r="C54" i="1"/>
  <c r="D53" i="1"/>
  <c r="D53" i="4" l="1"/>
  <c r="C54" i="4"/>
  <c r="E52" i="4"/>
  <c r="G52" i="4" s="1"/>
  <c r="I52" i="4" s="1"/>
  <c r="D60" i="3"/>
  <c r="E60" i="3" s="1"/>
  <c r="C61" i="3"/>
  <c r="D61" i="3" s="1"/>
  <c r="E61" i="3" s="1"/>
  <c r="G59" i="3"/>
  <c r="I59" i="3" s="1"/>
  <c r="D54" i="2"/>
  <c r="C55" i="2"/>
  <c r="E53" i="2"/>
  <c r="G53" i="2" s="1"/>
  <c r="I53" i="2" s="1"/>
  <c r="E53" i="1"/>
  <c r="G53" i="1" s="1"/>
  <c r="I53" i="1" s="1"/>
  <c r="C55" i="1"/>
  <c r="D54" i="1"/>
  <c r="D54" i="4" l="1"/>
  <c r="C55" i="4"/>
  <c r="E53" i="4"/>
  <c r="G53" i="4" s="1"/>
  <c r="I53" i="4" s="1"/>
  <c r="G61" i="3"/>
  <c r="I61" i="3" s="1"/>
  <c r="G60" i="3"/>
  <c r="I60" i="3" s="1"/>
  <c r="D55" i="2"/>
  <c r="C56" i="2"/>
  <c r="E54" i="2"/>
  <c r="G54" i="2" s="1"/>
  <c r="I54" i="2" s="1"/>
  <c r="E54" i="1"/>
  <c r="G54" i="1" s="1"/>
  <c r="I54" i="1" s="1"/>
  <c r="C56" i="1"/>
  <c r="D55" i="1"/>
  <c r="D55" i="4" l="1"/>
  <c r="C56" i="4"/>
  <c r="E54" i="4"/>
  <c r="G54" i="4" s="1"/>
  <c r="I54" i="4" s="1"/>
  <c r="J2" i="3"/>
  <c r="D56" i="2"/>
  <c r="C57" i="2"/>
  <c r="E55" i="2"/>
  <c r="G55" i="2" s="1"/>
  <c r="I55" i="2" s="1"/>
  <c r="E55" i="1"/>
  <c r="G55" i="1" s="1"/>
  <c r="I55" i="1" s="1"/>
  <c r="C57" i="1"/>
  <c r="D56" i="1"/>
  <c r="E55" i="4" l="1"/>
  <c r="G55" i="4" s="1"/>
  <c r="I55" i="4" s="1"/>
  <c r="D56" i="4"/>
  <c r="C57" i="4"/>
  <c r="D57" i="2"/>
  <c r="C58" i="2"/>
  <c r="E56" i="2"/>
  <c r="G56" i="2" s="1"/>
  <c r="I56" i="2" s="1"/>
  <c r="E56" i="1"/>
  <c r="G56" i="1" s="1"/>
  <c r="I56" i="1" s="1"/>
  <c r="C58" i="1"/>
  <c r="D57" i="1"/>
  <c r="D57" i="4" l="1"/>
  <c r="C58" i="4"/>
  <c r="E56" i="4"/>
  <c r="G56" i="4" s="1"/>
  <c r="I56" i="4" s="1"/>
  <c r="D58" i="2"/>
  <c r="C59" i="2"/>
  <c r="E57" i="2"/>
  <c r="G57" i="2" s="1"/>
  <c r="I57" i="2" s="1"/>
  <c r="E57" i="1"/>
  <c r="G57" i="1" s="1"/>
  <c r="I57" i="1" s="1"/>
  <c r="C59" i="1"/>
  <c r="D58" i="1"/>
  <c r="D58" i="4" l="1"/>
  <c r="C59" i="4"/>
  <c r="E57" i="4"/>
  <c r="G57" i="4" s="1"/>
  <c r="I57" i="4" s="1"/>
  <c r="D59" i="2"/>
  <c r="C60" i="2"/>
  <c r="E58" i="2"/>
  <c r="G58" i="2" s="1"/>
  <c r="I58" i="2" s="1"/>
  <c r="E58" i="1"/>
  <c r="G58" i="1" s="1"/>
  <c r="I58" i="1" s="1"/>
  <c r="C60" i="1"/>
  <c r="D59" i="1"/>
  <c r="E58" i="4" l="1"/>
  <c r="G58" i="4" s="1"/>
  <c r="I58" i="4" s="1"/>
  <c r="D59" i="4"/>
  <c r="C60" i="4"/>
  <c r="D60" i="2"/>
  <c r="C61" i="2"/>
  <c r="D61" i="2" s="1"/>
  <c r="E59" i="2"/>
  <c r="G59" i="2" s="1"/>
  <c r="I59" i="2" s="1"/>
  <c r="E59" i="1"/>
  <c r="G59" i="1" s="1"/>
  <c r="I59" i="1" s="1"/>
  <c r="C61" i="1"/>
  <c r="D61" i="1" s="1"/>
  <c r="D60" i="1"/>
  <c r="D60" i="4" l="1"/>
  <c r="C61" i="4"/>
  <c r="D61" i="4" s="1"/>
  <c r="E59" i="4"/>
  <c r="G59" i="4" s="1"/>
  <c r="I59" i="4" s="1"/>
  <c r="E61" i="2"/>
  <c r="G61" i="2" s="1"/>
  <c r="I61" i="2" s="1"/>
  <c r="E60" i="2"/>
  <c r="G60" i="2" s="1"/>
  <c r="I60" i="2" s="1"/>
  <c r="E60" i="1"/>
  <c r="G60" i="1" s="1"/>
  <c r="I60" i="1" s="1"/>
  <c r="E61" i="1"/>
  <c r="G61" i="1" s="1"/>
  <c r="I61" i="1" s="1"/>
  <c r="E61" i="4" l="1"/>
  <c r="G61" i="4" s="1"/>
  <c r="I61" i="4" s="1"/>
  <c r="E60" i="4"/>
  <c r="G60" i="4" s="1"/>
  <c r="I60" i="4" s="1"/>
  <c r="J2" i="2"/>
  <c r="J2" i="1"/>
  <c r="J2" i="4" l="1"/>
</calcChain>
</file>

<file path=xl/sharedStrings.xml><?xml version="1.0" encoding="utf-8"?>
<sst xmlns="http://schemas.openxmlformats.org/spreadsheetml/2006/main" count="85" uniqueCount="22">
  <si>
    <t>параметры</t>
  </si>
  <si>
    <t>a1</t>
  </si>
  <si>
    <t>a2</t>
  </si>
  <si>
    <t>a3</t>
  </si>
  <si>
    <t>c1</t>
  </si>
  <si>
    <t>c2</t>
  </si>
  <si>
    <t>0.003</t>
  </si>
  <si>
    <t>r</t>
  </si>
  <si>
    <t>δ</t>
  </si>
  <si>
    <t>tax_rate</t>
  </si>
  <si>
    <t>M0</t>
  </si>
  <si>
    <t>месяц</t>
  </si>
  <si>
    <t>r(t)</t>
  </si>
  <si>
    <t>M(t)</t>
  </si>
  <si>
    <t>pi(t)</t>
  </si>
  <si>
    <t>tax(t)</t>
  </si>
  <si>
    <t>J(t)</t>
  </si>
  <si>
    <t>CF(t)</t>
  </si>
  <si>
    <t>discount</t>
  </si>
  <si>
    <t>PV(CF)</t>
  </si>
  <si>
    <t>NPV</t>
  </si>
  <si>
    <t>3 сценария описаны на следующих 3х листах файла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</si>
</sst>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'сценарий 1'!$A$2:$A$61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'сценарий 1'!$C$2:$C$61</c:f>
              <c:numCache>
                <c:formatCode>General</c:formatCode>
                <c:ptCount val="60"/>
                <c:pt idx="0">
                  <c:v>1020</c:v>
                </c:pt>
                <c:pt idx="1">
                  <c:v>947.14285714285722</c:v>
                </c:pt>
                <c:pt idx="2">
                  <c:v>879.48979591836746</c:v>
                </c:pt>
                <c:pt idx="3">
                  <c:v>816.66909620991271</c:v>
                </c:pt>
                <c:pt idx="4">
                  <c:v>758.33558933777613</c:v>
                </c:pt>
                <c:pt idx="5">
                  <c:v>704.16876152793498</c:v>
                </c:pt>
                <c:pt idx="6">
                  <c:v>653.87099284736826</c:v>
                </c:pt>
                <c:pt idx="7">
                  <c:v>607.16592192969915</c:v>
                </c:pt>
                <c:pt idx="8">
                  <c:v>563.79692750614925</c:v>
                </c:pt>
                <c:pt idx="9">
                  <c:v>523.52571839856716</c:v>
                </c:pt>
                <c:pt idx="10">
                  <c:v>486.13102422724097</c:v>
                </c:pt>
                <c:pt idx="11">
                  <c:v>451.40737963958094</c:v>
                </c:pt>
                <c:pt idx="12">
                  <c:v>419.16399537961087</c:v>
                </c:pt>
                <c:pt idx="13">
                  <c:v>389.22370999535298</c:v>
                </c:pt>
                <c:pt idx="14">
                  <c:v>361.42201642425636</c:v>
                </c:pt>
                <c:pt idx="15">
                  <c:v>335.60615810823805</c:v>
                </c:pt>
                <c:pt idx="16">
                  <c:v>311.63428967193533</c:v>
                </c:pt>
                <c:pt idx="17">
                  <c:v>289.37469755251141</c:v>
                </c:pt>
                <c:pt idx="18">
                  <c:v>268.70507629876062</c:v>
                </c:pt>
                <c:pt idx="19">
                  <c:v>249.51185656313487</c:v>
                </c:pt>
                <c:pt idx="20">
                  <c:v>231.68958109433953</c:v>
                </c:pt>
                <c:pt idx="21">
                  <c:v>215.14032530188672</c:v>
                </c:pt>
                <c:pt idx="22">
                  <c:v>199.77315920889481</c:v>
                </c:pt>
                <c:pt idx="23">
                  <c:v>185.50364783683091</c:v>
                </c:pt>
                <c:pt idx="24">
                  <c:v>172.25338727705727</c:v>
                </c:pt>
                <c:pt idx="25">
                  <c:v>159.94957390012462</c:v>
                </c:pt>
                <c:pt idx="26">
                  <c:v>148.52460433583002</c:v>
                </c:pt>
                <c:pt idx="27">
                  <c:v>137.91570402612788</c:v>
                </c:pt>
                <c:pt idx="28">
                  <c:v>128.06458230997589</c:v>
                </c:pt>
                <c:pt idx="29">
                  <c:v>118.91711214497762</c:v>
                </c:pt>
                <c:pt idx="30">
                  <c:v>110.42303270605065</c:v>
                </c:pt>
                <c:pt idx="31">
                  <c:v>102.53567322704703</c:v>
                </c:pt>
                <c:pt idx="32">
                  <c:v>95.21169656797224</c:v>
                </c:pt>
                <c:pt idx="33">
                  <c:v>88.410861098831361</c:v>
                </c:pt>
                <c:pt idx="34">
                  <c:v>82.095799591771978</c:v>
                </c:pt>
                <c:pt idx="35">
                  <c:v>76.231813906645414</c:v>
                </c:pt>
                <c:pt idx="36">
                  <c:v>70.786684341885035</c:v>
                </c:pt>
                <c:pt idx="37">
                  <c:v>65.730492603178959</c:v>
                </c:pt>
                <c:pt idx="38">
                  <c:v>61.035457417237609</c:v>
                </c:pt>
                <c:pt idx="39">
                  <c:v>56.675781887434923</c:v>
                </c:pt>
                <c:pt idx="40">
                  <c:v>52.627511752618148</c:v>
                </c:pt>
                <c:pt idx="41">
                  <c:v>48.868403770288282</c:v>
                </c:pt>
                <c:pt idx="42">
                  <c:v>45.377803500981976</c:v>
                </c:pt>
                <c:pt idx="43">
                  <c:v>42.136531822340409</c:v>
                </c:pt>
                <c:pt idx="44">
                  <c:v>39.126779549316097</c:v>
                </c:pt>
                <c:pt idx="45">
                  <c:v>36.332009581507805</c:v>
                </c:pt>
                <c:pt idx="46">
                  <c:v>33.736866039971531</c:v>
                </c:pt>
                <c:pt idx="47">
                  <c:v>31.327089894259281</c:v>
                </c:pt>
                <c:pt idx="48">
                  <c:v>29.089440616097903</c:v>
                </c:pt>
                <c:pt idx="49">
                  <c:v>27.011623429233769</c:v>
                </c:pt>
                <c:pt idx="50">
                  <c:v>25.082221755717072</c:v>
                </c:pt>
                <c:pt idx="51">
                  <c:v>23.290634487451566</c:v>
                </c:pt>
                <c:pt idx="52">
                  <c:v>21.627017738347885</c:v>
                </c:pt>
                <c:pt idx="53">
                  <c:v>20.082230757037323</c:v>
                </c:pt>
                <c:pt idx="54">
                  <c:v>18.64778570296323</c:v>
                </c:pt>
                <c:pt idx="55">
                  <c:v>17.315801009894429</c:v>
                </c:pt>
                <c:pt idx="56">
                  <c:v>16.078958080616257</c:v>
                </c:pt>
                <c:pt idx="57">
                  <c:v>14.930461074857954</c:v>
                </c:pt>
                <c:pt idx="58">
                  <c:v>13.863999569510957</c:v>
                </c:pt>
                <c:pt idx="59">
                  <c:v>12.87371388597446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9F-4ACA-A451-5600A2057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966719"/>
        <c:axId val="1596967199"/>
      </c:scatterChart>
      <c:valAx>
        <c:axId val="159696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67199"/>
        <c:crosses val="autoZero"/>
        <c:crossBetween val="midCat"/>
      </c:valAx>
      <c:valAx>
        <c:axId val="159696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66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CF(t)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'сценарий 1'!$A$2:$A$61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'сценарий 1'!$G$2:$G$61</c:f>
              <c:numCache>
                <c:formatCode>General</c:formatCode>
                <c:ptCount val="60"/>
                <c:pt idx="0">
                  <c:v>536.33901382634951</c:v>
                </c:pt>
                <c:pt idx="1">
                  <c:v>513.01324642263808</c:v>
                </c:pt>
                <c:pt idx="2">
                  <c:v>490.7019333303715</c:v>
                </c:pt>
                <c:pt idx="3">
                  <c:v>469.36095520581245</c:v>
                </c:pt>
                <c:pt idx="4">
                  <c:v>448.94811148704616</c:v>
                </c:pt>
                <c:pt idx="5">
                  <c:v>429.42303694478483</c:v>
                </c:pt>
                <c:pt idx="6">
                  <c:v>410.74712186244028</c:v>
                </c:pt>
                <c:pt idx="7">
                  <c:v>392.88343568761883</c:v>
                </c:pt>
                <c:pt idx="8">
                  <c:v>375.79665400407077</c:v>
                </c:pt>
                <c:pt idx="9">
                  <c:v>359.45298867967955</c:v>
                </c:pt>
                <c:pt idx="10">
                  <c:v>343.82012105236612</c:v>
                </c:pt>
                <c:pt idx="11">
                  <c:v>328.86713802178616</c:v>
                </c:pt>
                <c:pt idx="12">
                  <c:v>314.56447092044419</c:v>
                </c:pt>
                <c:pt idx="13">
                  <c:v>300.88383704334677</c:v>
                </c:pt>
                <c:pt idx="14">
                  <c:v>287.7981837205744</c:v>
                </c:pt>
                <c:pt idx="15">
                  <c:v>275.28163482217508</c:v>
                </c:pt>
                <c:pt idx="16">
                  <c:v>263.30943958960074</c:v>
                </c:pt>
                <c:pt idx="17">
                  <c:v>251.8579236924985</c:v>
                </c:pt>
                <c:pt idx="18">
                  <c:v>240.90444241407906</c:v>
                </c:pt>
                <c:pt idx="19">
                  <c:v>230.42733587248603</c:v>
                </c:pt>
                <c:pt idx="20">
                  <c:v>220.40588618962059</c:v>
                </c:pt>
                <c:pt idx="21">
                  <c:v>210.82027652272347</c:v>
                </c:pt>
                <c:pt idx="22">
                  <c:v>201.65155187770381</c:v>
                </c:pt>
                <c:pt idx="23">
                  <c:v>192.88158162672437</c:v>
                </c:pt>
                <c:pt idx="24">
                  <c:v>184.49302365592274</c:v>
                </c:pt>
                <c:pt idx="25">
                  <c:v>176.46929007237483</c:v>
                </c:pt>
                <c:pt idx="26">
                  <c:v>168.7945144024867</c:v>
                </c:pt>
                <c:pt idx="27">
                  <c:v>161.45352021695163</c:v>
                </c:pt>
                <c:pt idx="28">
                  <c:v>154.43179112023086</c:v>
                </c:pt>
                <c:pt idx="29">
                  <c:v>147.7154420452122</c:v>
                </c:pt>
                <c:pt idx="30">
                  <c:v>141.29119179628555</c:v>
                </c:pt>
                <c:pt idx="31">
                  <c:v>135.14633678653914</c:v>
                </c:pt>
                <c:pt idx="32">
                  <c:v>129.26872591714385</c:v>
                </c:pt>
                <c:pt idx="33">
                  <c:v>123.64673654925191</c:v>
                </c:pt>
                <c:pt idx="34">
                  <c:v>118.26925152089332</c:v>
                </c:pt>
                <c:pt idx="35">
                  <c:v>113.12563716342545</c:v>
                </c:pt>
                <c:pt idx="36">
                  <c:v>108.2057222740621</c:v>
                </c:pt>
                <c:pt idx="37">
                  <c:v>103.49977800290274</c:v>
                </c:pt>
                <c:pt idx="38">
                  <c:v>98.998498614688955</c:v>
                </c:pt>
                <c:pt idx="39">
                  <c:v>94.692983087245892</c:v>
                </c:pt>
                <c:pt idx="40">
                  <c:v>90.574717510220708</c:v>
                </c:pt>
                <c:pt idx="41">
                  <c:v>86.635558249312851</c:v>
                </c:pt>
                <c:pt idx="42">
                  <c:v>82.867715842703134</c:v>
                </c:pt>
                <c:pt idx="43">
                  <c:v>79.263739597839546</c:v>
                </c:pt>
                <c:pt idx="44">
                  <c:v>75.816502858119222</c:v>
                </c:pt>
                <c:pt idx="45">
                  <c:v>72.51918891033344</c:v>
                </c:pt>
                <c:pt idx="46">
                  <c:v>69.365277505007384</c:v>
                </c:pt>
                <c:pt idx="47">
                  <c:v>66.348531962980616</c:v>
                </c:pt>
                <c:pt idx="48">
                  <c:v>63.462986842730835</c:v>
                </c:pt>
                <c:pt idx="49">
                  <c:v>60.702936144055371</c:v>
                </c:pt>
                <c:pt idx="50">
                  <c:v>58.062922024782267</c:v>
                </c:pt>
                <c:pt idx="51">
                  <c:v>55.537724008200172</c:v>
                </c:pt>
                <c:pt idx="52">
                  <c:v>53.122348659864578</c:v>
                </c:pt>
                <c:pt idx="53">
                  <c:v>50.812019713367228</c:v>
                </c:pt>
                <c:pt idx="54">
                  <c:v>48.602168625542888</c:v>
                </c:pt>
                <c:pt idx="55">
                  <c:v>46.48842554243685</c:v>
                </c:pt>
                <c:pt idx="56">
                  <c:v>44.466610658169031</c:v>
                </c:pt>
                <c:pt idx="57">
                  <c:v>42.532725949607332</c:v>
                </c:pt>
                <c:pt idx="58">
                  <c:v>40.682947270505771</c:v>
                </c:pt>
                <c:pt idx="59">
                  <c:v>38.913616789474396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8C-4B2B-BF7A-C030291DA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7322687"/>
        <c:axId val="1497326527"/>
      </c:scatterChart>
      <c:valAx>
        <c:axId val="149732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26527"/>
        <c:crosses val="autoZero"/>
        <c:crossBetween val="midCat"/>
      </c:valAx>
      <c:valAx>
        <c:axId val="149732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2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'сценарий 2'!$A$2:$A$61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'сценарий 2'!$C$2:$C$61</c:f>
              <c:numCache>
                <c:formatCode>General</c:formatCode>
                <c:ptCount val="60"/>
                <c:pt idx="0">
                  <c:v>1020</c:v>
                </c:pt>
                <c:pt idx="1">
                  <c:v>1508.1096828285799</c:v>
                </c:pt>
                <c:pt idx="2">
                  <c:v>2088.9353233524571</c:v>
                </c:pt>
                <c:pt idx="3">
                  <c:v>2759.303187499826</c:v>
                </c:pt>
                <c:pt idx="4">
                  <c:v>3514.5370923289802</c:v>
                </c:pt>
                <c:pt idx="5">
                  <c:v>4348.9119092948886</c:v>
                </c:pt>
                <c:pt idx="6">
                  <c:v>5256.0092239570713</c:v>
                </c:pt>
                <c:pt idx="7">
                  <c:v>6228.9951217804701</c:v>
                </c:pt>
                <c:pt idx="8">
                  <c:v>7260.8361255173349</c:v>
                </c:pt>
                <c:pt idx="9">
                  <c:v>8344.465943236195</c:v>
                </c:pt>
                <c:pt idx="10">
                  <c:v>9472.9130034701448</c:v>
                </c:pt>
                <c:pt idx="11">
                  <c:v>10290.823273022615</c:v>
                </c:pt>
                <c:pt idx="12">
                  <c:v>10680.282120359188</c:v>
                </c:pt>
                <c:pt idx="13">
                  <c:v>11052.343816316305</c:v>
                </c:pt>
                <c:pt idx="14">
                  <c:v>11383.973875751926</c:v>
                </c:pt>
                <c:pt idx="15">
                  <c:v>11680.143223295727</c:v>
                </c:pt>
                <c:pt idx="16">
                  <c:v>11958.88430419131</c:v>
                </c:pt>
                <c:pt idx="17">
                  <c:v>12228.900317629743</c:v>
                </c:pt>
                <c:pt idx="18">
                  <c:v>12487.69216041546</c:v>
                </c:pt>
                <c:pt idx="19">
                  <c:v>12728.441088661875</c:v>
                </c:pt>
                <c:pt idx="20">
                  <c:v>12946.484339342856</c:v>
                </c:pt>
                <c:pt idx="21">
                  <c:v>13141.825041346963</c:v>
                </c:pt>
                <c:pt idx="22">
                  <c:v>13318.135873780464</c:v>
                </c:pt>
                <c:pt idx="23">
                  <c:v>13480.345835090138</c:v>
                </c:pt>
                <c:pt idx="24">
                  <c:v>13632.590436460394</c:v>
                </c:pt>
                <c:pt idx="25">
                  <c:v>13777.309079807625</c:v>
                </c:pt>
                <c:pt idx="26">
                  <c:v>13915.322272688987</c:v>
                </c:pt>
                <c:pt idx="27">
                  <c:v>14046.382215351112</c:v>
                </c:pt>
                <c:pt idx="28">
                  <c:v>14169.749766258265</c:v>
                </c:pt>
                <c:pt idx="29">
                  <c:v>14284.593503644093</c:v>
                </c:pt>
                <c:pt idx="30">
                  <c:v>14390.224335801249</c:v>
                </c:pt>
                <c:pt idx="31">
                  <c:v>14486.287324854771</c:v>
                </c:pt>
                <c:pt idx="32">
                  <c:v>14572.941862066855</c:v>
                </c:pt>
                <c:pt idx="33">
                  <c:v>14651.042773470663</c:v>
                </c:pt>
                <c:pt idx="34">
                  <c:v>14722.166605198112</c:v>
                </c:pt>
                <c:pt idx="35">
                  <c:v>14788.374399881119</c:v>
                </c:pt>
                <c:pt idx="36">
                  <c:v>14851.626085853084</c:v>
                </c:pt>
                <c:pt idx="37">
                  <c:v>14912.997141633516</c:v>
                </c:pt>
                <c:pt idx="38">
                  <c:v>14972.036214198311</c:v>
                </c:pt>
                <c:pt idx="39">
                  <c:v>15026.777942548168</c:v>
                </c:pt>
                <c:pt idx="40">
                  <c:v>15074.886135557243</c:v>
                </c:pt>
                <c:pt idx="41">
                  <c:v>15115.871581764608</c:v>
                </c:pt>
                <c:pt idx="42">
                  <c:v>15153.352093700234</c:v>
                </c:pt>
                <c:pt idx="43">
                  <c:v>15194.653362340221</c:v>
                </c:pt>
                <c:pt idx="44">
                  <c:v>15244.341775403926</c:v>
                </c:pt>
                <c:pt idx="45">
                  <c:v>15292.391874332076</c:v>
                </c:pt>
                <c:pt idx="46">
                  <c:v>15312.599214947</c:v>
                </c:pt>
                <c:pt idx="47">
                  <c:v>15302.757868013578</c:v>
                </c:pt>
                <c:pt idx="48">
                  <c:v>15343.827284491714</c:v>
                </c:pt>
                <c:pt idx="49">
                  <c:v>15440.759970887497</c:v>
                </c:pt>
                <c:pt idx="50">
                  <c:v>15057.26312777941</c:v>
                </c:pt>
                <c:pt idx="51">
                  <c:v>13981.744332938024</c:v>
                </c:pt>
                <c:pt idx="52">
                  <c:v>12983.048309156737</c:v>
                </c:pt>
                <c:pt idx="53">
                  <c:v>12055.687715645541</c:v>
                </c:pt>
                <c:pt idx="54">
                  <c:v>11194.567164528004</c:v>
                </c:pt>
                <c:pt idx="55">
                  <c:v>10394.955224204576</c:v>
                </c:pt>
                <c:pt idx="56">
                  <c:v>9652.4584224756782</c:v>
                </c:pt>
                <c:pt idx="57">
                  <c:v>8962.9971065845584</c:v>
                </c:pt>
                <c:pt idx="58">
                  <c:v>8322.7830275428041</c:v>
                </c:pt>
                <c:pt idx="59">
                  <c:v>7728.2985255754611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BE-4755-853C-24B6B5400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950399"/>
        <c:axId val="1596943199"/>
      </c:scatterChart>
      <c:valAx>
        <c:axId val="159695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43199"/>
        <c:crosses val="autoZero"/>
        <c:crossBetween val="midCat"/>
      </c:valAx>
      <c:valAx>
        <c:axId val="15969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50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CF(t)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'сценарий 2'!$A$2:$A$61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'сценарий 2'!$G$2:$G$61</c:f>
              <c:numCache>
                <c:formatCode>General</c:formatCode>
                <c:ptCount val="60"/>
                <c:pt idx="0">
                  <c:v>-5.472847079860653</c:v>
                </c:pt>
                <c:pt idx="1">
                  <c:v>13.84335486660494</c:v>
                </c:pt>
                <c:pt idx="2">
                  <c:v>34.454676700639986</c:v>
                </c:pt>
                <c:pt idx="3">
                  <c:v>56.923354554821337</c:v>
                </c:pt>
                <c:pt idx="4">
                  <c:v>81.504261355377182</c:v>
                </c:pt>
                <c:pt idx="5">
                  <c:v>108.27862345268503</c:v>
                </c:pt>
                <c:pt idx="6">
                  <c:v>137.22261357030771</c:v>
                </c:pt>
                <c:pt idx="7">
                  <c:v>168.24647278213078</c:v>
                </c:pt>
                <c:pt idx="8">
                  <c:v>201.2186281407493</c:v>
                </c:pt>
                <c:pt idx="9">
                  <c:v>235.98144054600795</c:v>
                </c:pt>
                <c:pt idx="10">
                  <c:v>620.93531895661408</c:v>
                </c:pt>
                <c:pt idx="11">
                  <c:v>1098.7375876879369</c:v>
                </c:pt>
                <c:pt idx="12">
                  <c:v>1138.424533697357</c:v>
                </c:pt>
                <c:pt idx="13">
                  <c:v>1199.471908727887</c:v>
                </c:pt>
                <c:pt idx="14">
                  <c:v>1252.7750157994888</c:v>
                </c:pt>
                <c:pt idx="15">
                  <c:v>1285.7304602966069</c:v>
                </c:pt>
                <c:pt idx="16">
                  <c:v>1308.7305836110063</c:v>
                </c:pt>
                <c:pt idx="17">
                  <c:v>1333.4803444791044</c:v>
                </c:pt>
                <c:pt idx="18">
                  <c:v>1364.2156849301905</c:v>
                </c:pt>
                <c:pt idx="19">
                  <c:v>1398.4976140686108</c:v>
                </c:pt>
                <c:pt idx="20">
                  <c:v>1431.4973108713216</c:v>
                </c:pt>
                <c:pt idx="21">
                  <c:v>1459.6045492022397</c:v>
                </c:pt>
                <c:pt idx="22">
                  <c:v>1481.781177427863</c:v>
                </c:pt>
                <c:pt idx="23">
                  <c:v>1499.0799503381886</c:v>
                </c:pt>
                <c:pt idx="24">
                  <c:v>1513.4061164106988</c:v>
                </c:pt>
                <c:pt idx="25">
                  <c:v>1526.5025639339378</c:v>
                </c:pt>
                <c:pt idx="26">
                  <c:v>1539.4853334992347</c:v>
                </c:pt>
                <c:pt idx="27">
                  <c:v>1552.8452254876261</c:v>
                </c:pt>
                <c:pt idx="28">
                  <c:v>1566.6527250011425</c:v>
                </c:pt>
                <c:pt idx="29">
                  <c:v>1580.7401965510041</c:v>
                </c:pt>
                <c:pt idx="30">
                  <c:v>1594.7544794866958</c:v>
                </c:pt>
                <c:pt idx="31">
                  <c:v>1608.1760861423459</c:v>
                </c:pt>
                <c:pt idx="32">
                  <c:v>1620.3250954546038</c:v>
                </c:pt>
                <c:pt idx="33">
                  <c:v>1630.5227372105824</c:v>
                </c:pt>
                <c:pt idx="34">
                  <c:v>1638.355320627915</c:v>
                </c:pt>
                <c:pt idx="35">
                  <c:v>1644.0125089328494</c:v>
                </c:pt>
                <c:pt idx="36">
                  <c:v>1648.4612000839627</c:v>
                </c:pt>
                <c:pt idx="37">
                  <c:v>1653.2733600391205</c:v>
                </c:pt>
                <c:pt idx="38">
                  <c:v>1659.9459841894045</c:v>
                </c:pt>
                <c:pt idx="39">
                  <c:v>1668.7726228412123</c:v>
                </c:pt>
                <c:pt idx="40">
                  <c:v>1677.8153769772366</c:v>
                </c:pt>
                <c:pt idx="41">
                  <c:v>1682.9506567692399</c:v>
                </c:pt>
                <c:pt idx="42">
                  <c:v>1680.6164986249946</c:v>
                </c:pt>
                <c:pt idx="43">
                  <c:v>1673.8627284528277</c:v>
                </c:pt>
                <c:pt idx="44">
                  <c:v>1677.4595110631208</c:v>
                </c:pt>
                <c:pt idx="45">
                  <c:v>1707.1893382585856</c:v>
                </c:pt>
                <c:pt idx="46">
                  <c:v>1738.0296301848343</c:v>
                </c:pt>
                <c:pt idx="47">
                  <c:v>1686.733488333547</c:v>
                </c:pt>
                <c:pt idx="48">
                  <c:v>1632.4766094052452</c:v>
                </c:pt>
                <c:pt idx="49">
                  <c:v>2116.6783367755038</c:v>
                </c:pt>
                <c:pt idx="50">
                  <c:v>2793.6170750511519</c:v>
                </c:pt>
                <c:pt idx="51">
                  <c:v>2672.1206699271042</c:v>
                </c:pt>
                <c:pt idx="52">
                  <c:v>2555.9082303794012</c:v>
                </c:pt>
                <c:pt idx="53">
                  <c:v>2444.7499529650286</c:v>
                </c:pt>
                <c:pt idx="54">
                  <c:v>2338.4260285570981</c:v>
                </c:pt>
                <c:pt idx="55">
                  <c:v>2236.7262076849051</c:v>
                </c:pt>
                <c:pt idx="56">
                  <c:v>2139.4493847776407</c:v>
                </c:pt>
                <c:pt idx="57">
                  <c:v>2046.4032004896296</c:v>
                </c:pt>
                <c:pt idx="58">
                  <c:v>1957.4036613207604</c:v>
                </c:pt>
                <c:pt idx="59">
                  <c:v>1872.2747757798629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65-48ED-AA01-0A3FDFD72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7331327"/>
        <c:axId val="1497347167"/>
      </c:scatterChart>
      <c:valAx>
        <c:axId val="149733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47167"/>
        <c:crosses val="autoZero"/>
        <c:crossBetween val="midCat"/>
      </c:valAx>
      <c:valAx>
        <c:axId val="149734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3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'сценарий 3'!$A$2:$A$61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'сценарий 3'!$C$2:$C$61</c:f>
              <c:numCache>
                <c:formatCode>General</c:formatCode>
                <c:ptCount val="60"/>
                <c:pt idx="0">
                  <c:v>1020</c:v>
                </c:pt>
                <c:pt idx="1">
                  <c:v>1421.5704222717852</c:v>
                </c:pt>
                <c:pt idx="2">
                  <c:v>1844.4311369688935</c:v>
                </c:pt>
                <c:pt idx="3">
                  <c:v>1835.2503892304849</c:v>
                </c:pt>
                <c:pt idx="4">
                  <c:v>1933.5790698765143</c:v>
                </c:pt>
                <c:pt idx="5">
                  <c:v>2051.3067377939092</c:v>
                </c:pt>
                <c:pt idx="6">
                  <c:v>2149.1616107015971</c:v>
                </c:pt>
                <c:pt idx="7">
                  <c:v>2226.4349710831907</c:v>
                </c:pt>
                <c:pt idx="8">
                  <c:v>2272.3640144540718</c:v>
                </c:pt>
                <c:pt idx="9">
                  <c:v>1993.0189430631738</c:v>
                </c:pt>
                <c:pt idx="10">
                  <c:v>2246.8428671526221</c:v>
                </c:pt>
                <c:pt idx="11">
                  <c:v>2543.5167532496453</c:v>
                </c:pt>
                <c:pt idx="12">
                  <c:v>2872.3990284040133</c:v>
                </c:pt>
                <c:pt idx="13">
                  <c:v>2540.0829832239751</c:v>
                </c:pt>
                <c:pt idx="14">
                  <c:v>2560.5022254823548</c:v>
                </c:pt>
                <c:pt idx="15">
                  <c:v>2576.988942258427</c:v>
                </c:pt>
                <c:pt idx="16">
                  <c:v>2589.903327235249</c:v>
                </c:pt>
                <c:pt idx="17">
                  <c:v>2602.4171119385273</c:v>
                </c:pt>
                <c:pt idx="18">
                  <c:v>2614.1633033284907</c:v>
                </c:pt>
                <c:pt idx="19">
                  <c:v>2624.7498322740212</c:v>
                </c:pt>
                <c:pt idx="20">
                  <c:v>2633.8731386929935</c:v>
                </c:pt>
                <c:pt idx="21">
                  <c:v>2641.2981260464226</c:v>
                </c:pt>
                <c:pt idx="22">
                  <c:v>2646.9980476232449</c:v>
                </c:pt>
                <c:pt idx="23">
                  <c:v>2651.1952505783252</c:v>
                </c:pt>
                <c:pt idx="24">
                  <c:v>2654.2820976009534</c:v>
                </c:pt>
                <c:pt idx="25">
                  <c:v>2656.7057563060471</c:v>
                </c:pt>
                <c:pt idx="26">
                  <c:v>2658.8726104937382</c:v>
                </c:pt>
                <c:pt idx="27">
                  <c:v>2661.0874958682243</c:v>
                </c:pt>
                <c:pt idx="28">
                  <c:v>2663.5220998518143</c:v>
                </c:pt>
                <c:pt idx="29">
                  <c:v>2666.2047127619098</c:v>
                </c:pt>
                <c:pt idx="30">
                  <c:v>2669.0282042681511</c:v>
                </c:pt>
                <c:pt idx="31">
                  <c:v>2671.7785117034982</c:v>
                </c:pt>
                <c:pt idx="32">
                  <c:v>2674.1868051953265</c:v>
                </c:pt>
                <c:pt idx="33">
                  <c:v>2676.005154025187</c:v>
                </c:pt>
                <c:pt idx="34">
                  <c:v>2677.0957099611865</c:v>
                </c:pt>
                <c:pt idx="35">
                  <c:v>2677.5065403224799</c:v>
                </c:pt>
                <c:pt idx="36">
                  <c:v>2677.4955904855888</c:v>
                </c:pt>
                <c:pt idx="37">
                  <c:v>2677.4630216496626</c:v>
                </c:pt>
                <c:pt idx="38">
                  <c:v>2677.7896434223694</c:v>
                </c:pt>
                <c:pt idx="39">
                  <c:v>2678.6657129645728</c:v>
                </c:pt>
                <c:pt idx="40">
                  <c:v>2680.0847634258657</c:v>
                </c:pt>
                <c:pt idx="41">
                  <c:v>2682.0469340854802</c:v>
                </c:pt>
                <c:pt idx="42">
                  <c:v>2684.3650765522216</c:v>
                </c:pt>
                <c:pt idx="43">
                  <c:v>2684.9020513438672</c:v>
                </c:pt>
                <c:pt idx="44">
                  <c:v>2678.5868206838622</c:v>
                </c:pt>
                <c:pt idx="45">
                  <c:v>2669.6313008831571</c:v>
                </c:pt>
                <c:pt idx="46">
                  <c:v>2670.3795836548129</c:v>
                </c:pt>
                <c:pt idx="47">
                  <c:v>2533.2415043910946</c:v>
                </c:pt>
                <c:pt idx="48">
                  <c:v>2773.3173534519337</c:v>
                </c:pt>
                <c:pt idx="49">
                  <c:v>3054.654614514674</c:v>
                </c:pt>
                <c:pt idx="50">
                  <c:v>3366.4110061325459</c:v>
                </c:pt>
                <c:pt idx="51">
                  <c:v>3699.0302684652856</c:v>
                </c:pt>
                <c:pt idx="52">
                  <c:v>3170.6056530038099</c:v>
                </c:pt>
                <c:pt idx="53">
                  <c:v>2717.6742974406479</c:v>
                </c:pt>
                <c:pt idx="54">
                  <c:v>2329.4513208574044</c:v>
                </c:pt>
                <c:pt idx="55">
                  <c:v>1996.6903873287488</c:v>
                </c:pt>
                <c:pt idx="56">
                  <c:v>1711.4661486492412</c:v>
                </c:pt>
                <c:pt idx="57">
                  <c:v>1467.1448176827314</c:v>
                </c:pt>
                <c:pt idx="58">
                  <c:v>1257.5527008709128</c:v>
                </c:pt>
                <c:pt idx="59">
                  <c:v>1077.9023150322109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61-4F3B-A7FF-A74167878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925439"/>
        <c:axId val="1596917759"/>
      </c:scatterChart>
      <c:valAx>
        <c:axId val="159692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17759"/>
        <c:crosses val="autoZero"/>
        <c:crossBetween val="midCat"/>
      </c:valAx>
      <c:valAx>
        <c:axId val="159691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2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CF(t)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'сценарий 3'!$A$2:$A$61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'сценарий 3'!$G$2:$G$61</c:f>
              <c:numCache>
                <c:formatCode>General</c:formatCode>
                <c:ptCount val="60"/>
                <c:pt idx="0">
                  <c:v>-10.94569415972142</c:v>
                </c:pt>
                <c:pt idx="1">
                  <c:v>28.604007641552002</c:v>
                </c:pt>
                <c:pt idx="2">
                  <c:v>510.92898212720991</c:v>
                </c:pt>
                <c:pt idx="3">
                  <c:v>402.44340137470169</c:v>
                </c:pt>
                <c:pt idx="4">
                  <c:v>393.26734649396985</c:v>
                </c:pt>
                <c:pt idx="5">
                  <c:v>424.73968100646442</c:v>
                </c:pt>
                <c:pt idx="6">
                  <c:v>454.46938435041005</c:v>
                </c:pt>
                <c:pt idx="7">
                  <c:v>492.74142230369409</c:v>
                </c:pt>
                <c:pt idx="8">
                  <c:v>822.01501368950096</c:v>
                </c:pt>
                <c:pt idx="9">
                  <c:v>263.11156691381939</c:v>
                </c:pt>
                <c:pt idx="10">
                  <c:v>243.78434219907203</c:v>
                </c:pt>
                <c:pt idx="11">
                  <c:v>235.74124690353207</c:v>
                </c:pt>
                <c:pt idx="12">
                  <c:v>920.19305506109561</c:v>
                </c:pt>
                <c:pt idx="13">
                  <c:v>543.94294411153055</c:v>
                </c:pt>
                <c:pt idx="14">
                  <c:v>549.4235721365684</c:v>
                </c:pt>
                <c:pt idx="15">
                  <c:v>554.23547491496595</c:v>
                </c:pt>
                <c:pt idx="16">
                  <c:v>555.60063534475262</c:v>
                </c:pt>
                <c:pt idx="17">
                  <c:v>557.29752771093808</c:v>
                </c:pt>
                <c:pt idx="18">
                  <c:v>559.32473519587677</c:v>
                </c:pt>
                <c:pt idx="19">
                  <c:v>561.56593566669494</c:v>
                </c:pt>
                <c:pt idx="20">
                  <c:v>563.93174135778145</c:v>
                </c:pt>
                <c:pt idx="21">
                  <c:v>566.19802529341268</c:v>
                </c:pt>
                <c:pt idx="22">
                  <c:v>568.11499767303997</c:v>
                </c:pt>
                <c:pt idx="23">
                  <c:v>569.52971775637559</c:v>
                </c:pt>
                <c:pt idx="24">
                  <c:v>570.41638644075829</c:v>
                </c:pt>
                <c:pt idx="25">
                  <c:v>570.84844147660306</c:v>
                </c:pt>
                <c:pt idx="26">
                  <c:v>570.95693062507701</c:v>
                </c:pt>
                <c:pt idx="27">
                  <c:v>570.89704483907587</c:v>
                </c:pt>
                <c:pt idx="28">
                  <c:v>570.82454140262541</c:v>
                </c:pt>
                <c:pt idx="29">
                  <c:v>570.87682522864804</c:v>
                </c:pt>
                <c:pt idx="30">
                  <c:v>571.15306521837556</c:v>
                </c:pt>
                <c:pt idx="31">
                  <c:v>571.69262526774162</c:v>
                </c:pt>
                <c:pt idx="32">
                  <c:v>572.45535060668567</c:v>
                </c:pt>
                <c:pt idx="33">
                  <c:v>573.31347582926446</c:v>
                </c:pt>
                <c:pt idx="34">
                  <c:v>574.07131744183653</c:v>
                </c:pt>
                <c:pt idx="35">
                  <c:v>574.52251535242613</c:v>
                </c:pt>
                <c:pt idx="36">
                  <c:v>574.54335035308975</c:v>
                </c:pt>
                <c:pt idx="37">
                  <c:v>574.18182782269457</c:v>
                </c:pt>
                <c:pt idx="38">
                  <c:v>573.65576456454437</c:v>
                </c:pt>
                <c:pt idx="39">
                  <c:v>573.17548903854595</c:v>
                </c:pt>
                <c:pt idx="40">
                  <c:v>572.73388640023757</c:v>
                </c:pt>
                <c:pt idx="41">
                  <c:v>572.51818034470421</c:v>
                </c:pt>
                <c:pt idx="42">
                  <c:v>574.46490185173252</c:v>
                </c:pt>
                <c:pt idx="43">
                  <c:v>581.3554317332821</c:v>
                </c:pt>
                <c:pt idx="44">
                  <c:v>583.54441352812569</c:v>
                </c:pt>
                <c:pt idx="45">
                  <c:v>573.19842927743719</c:v>
                </c:pt>
                <c:pt idx="46">
                  <c:v>711.1385477302166</c:v>
                </c:pt>
                <c:pt idx="47">
                  <c:v>323.76443631080315</c:v>
                </c:pt>
                <c:pt idx="48">
                  <c:v>299.88960832224035</c:v>
                </c:pt>
                <c:pt idx="49">
                  <c:v>287.61822093320359</c:v>
                </c:pt>
                <c:pt idx="50">
                  <c:v>284.40731003426515</c:v>
                </c:pt>
                <c:pt idx="51">
                  <c:v>1161.7934453533526</c:v>
                </c:pt>
                <c:pt idx="52">
                  <c:v>1059.15513628345</c:v>
                </c:pt>
                <c:pt idx="53">
                  <c:v>965.58484331876923</c:v>
                </c:pt>
                <c:pt idx="54">
                  <c:v>880.28372970171915</c:v>
                </c:pt>
                <c:pt idx="55">
                  <c:v>802.52097101326922</c:v>
                </c:pt>
                <c:pt idx="56">
                  <c:v>731.47093977891484</c:v>
                </c:pt>
                <c:pt idx="57">
                  <c:v>667.05720039202731</c:v>
                </c:pt>
                <c:pt idx="58">
                  <c:v>608.12800360441827</c:v>
                </c:pt>
                <c:pt idx="59">
                  <c:v>554.40473253351195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47-46DE-B292-E34C58DDE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958191"/>
        <c:axId val="1103963951"/>
      </c:scatterChart>
      <c:valAx>
        <c:axId val="110395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963951"/>
        <c:crosses val="autoZero"/>
        <c:crossBetween val="midCat"/>
      </c:valAx>
      <c:valAx>
        <c:axId val="110396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95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10</xdr:row>
      <xdr:rowOff>179070</xdr:rowOff>
    </xdr:from>
    <xdr:to>
      <xdr:col>17</xdr:col>
      <xdr:colOff>312420</xdr:colOff>
      <xdr:row>25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935B08-4298-0D17-3F28-C5332FA3A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26</xdr:row>
      <xdr:rowOff>179070</xdr:rowOff>
    </xdr:from>
    <xdr:to>
      <xdr:col>17</xdr:col>
      <xdr:colOff>312420</xdr:colOff>
      <xdr:row>41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D68421-AFBB-75F3-E380-72D2E2554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11</xdr:row>
      <xdr:rowOff>3810</xdr:rowOff>
    </xdr:from>
    <xdr:to>
      <xdr:col>17</xdr:col>
      <xdr:colOff>320040</xdr:colOff>
      <xdr:row>26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3771D8-F5D0-12A2-82AE-841B65DF6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</xdr:colOff>
      <xdr:row>26</xdr:row>
      <xdr:rowOff>179070</xdr:rowOff>
    </xdr:from>
    <xdr:to>
      <xdr:col>17</xdr:col>
      <xdr:colOff>320040</xdr:colOff>
      <xdr:row>41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B6E068-1936-7E20-3841-64BB11551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10</xdr:row>
      <xdr:rowOff>171450</xdr:rowOff>
    </xdr:from>
    <xdr:to>
      <xdr:col>17</xdr:col>
      <xdr:colOff>320040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FF7C9B-C194-CEE9-96D0-F5517EBD8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27</xdr:row>
      <xdr:rowOff>3810</xdr:rowOff>
    </xdr:from>
    <xdr:to>
      <xdr:col>17</xdr:col>
      <xdr:colOff>312420</xdr:colOff>
      <xdr:row>42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5C692C-08F9-917B-C0F1-7180D581D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9380-3F0D-4945-AF92-D890EC8F3CA4}">
  <dimension ref="A1:L61"/>
  <sheetViews>
    <sheetView topLeftCell="B1" workbookViewId="0">
      <selection activeCell="L7" sqref="L7"/>
    </sheetView>
  </sheetViews>
  <sheetFormatPr defaultRowHeight="14.4" x14ac:dyDescent="0.3"/>
  <cols>
    <col min="1" max="1" width="4.88671875" customWidth="1"/>
    <col min="6" max="6" width="8.88671875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0</v>
      </c>
    </row>
    <row r="2" spans="1:12" x14ac:dyDescent="0.3">
      <c r="A2">
        <v>0</v>
      </c>
      <c r="B2">
        <v>3.0000000000000001E-3</v>
      </c>
      <c r="C2">
        <f>L10</f>
        <v>1020</v>
      </c>
      <c r="D2">
        <f>$L$2*(C2^0.6)</f>
        <v>574.64894338537442</v>
      </c>
      <c r="E2">
        <f>$L$9*D2</f>
        <v>38.309929559024958</v>
      </c>
      <c r="F2">
        <v>547.28470798607088</v>
      </c>
      <c r="G2">
        <f>D2 - F2 - E2</f>
        <v>-10.94569415972142</v>
      </c>
      <c r="H2">
        <f>1/(1+B2)^A2</f>
        <v>1</v>
      </c>
      <c r="I2">
        <f>G2*H2</f>
        <v>-10.94569415972142</v>
      </c>
      <c r="J2">
        <f>SUM(I2:I61)</f>
        <v>70412.667973500415</v>
      </c>
      <c r="K2" t="s">
        <v>1</v>
      </c>
      <c r="L2">
        <v>9</v>
      </c>
    </row>
    <row r="3" spans="1:12" x14ac:dyDescent="0.3">
      <c r="A3">
        <v>1</v>
      </c>
      <c r="B3">
        <v>3.0000000000000001E-3</v>
      </c>
      <c r="C3">
        <f>(1-$L$8)*C2+F2</f>
        <v>1494.4275651289281</v>
      </c>
      <c r="D3">
        <f t="shared" ref="D3:D61" si="0">$L$2*(C3^0.6)</f>
        <v>722.64904190678146</v>
      </c>
      <c r="E3">
        <f t="shared" ref="E3:E61" si="1">$L$9*D3</f>
        <v>48.176602793785428</v>
      </c>
      <c r="F3">
        <v>667.90429717832046</v>
      </c>
      <c r="G3">
        <f t="shared" ref="G3:G61" si="2">D3 - F3 - E3</f>
        <v>6.5681419346755732</v>
      </c>
      <c r="H3">
        <f t="shared" ref="H3:H61" si="3">1/(1+B3)^A3</f>
        <v>0.99700897308075787</v>
      </c>
      <c r="I3">
        <f t="shared" ref="I3:I61" si="4">G3*H3</f>
        <v>6.5484964453395555</v>
      </c>
      <c r="K3" t="s">
        <v>2</v>
      </c>
      <c r="L3">
        <v>10</v>
      </c>
    </row>
    <row r="4" spans="1:12" x14ac:dyDescent="0.3">
      <c r="A4">
        <v>2</v>
      </c>
      <c r="B4">
        <v>3.0000000000000001E-3</v>
      </c>
      <c r="C4">
        <f t="shared" ref="C4:C61" si="5">(1-$L$8)*C3+F3</f>
        <v>2055.587036226611</v>
      </c>
      <c r="D4">
        <f t="shared" si="0"/>
        <v>874.99189762413187</v>
      </c>
      <c r="E4">
        <f t="shared" si="1"/>
        <v>58.332793174942125</v>
      </c>
      <c r="F4">
        <v>791.46663973018644</v>
      </c>
      <c r="G4">
        <f t="shared" si="2"/>
        <v>25.192464719003297</v>
      </c>
      <c r="H4">
        <f t="shared" si="3"/>
        <v>0.99402689240354736</v>
      </c>
      <c r="I4">
        <f t="shared" si="4"/>
        <v>25.041987416616852</v>
      </c>
      <c r="K4" t="s">
        <v>3</v>
      </c>
      <c r="L4">
        <v>20</v>
      </c>
    </row>
    <row r="5" spans="1:12" x14ac:dyDescent="0.3">
      <c r="A5">
        <v>3</v>
      </c>
      <c r="B5">
        <v>3.0000000000000001E-3</v>
      </c>
      <c r="C5">
        <f t="shared" si="5"/>
        <v>2700.2260305120399</v>
      </c>
      <c r="D5">
        <f t="shared" si="0"/>
        <v>1030.5820672397588</v>
      </c>
      <c r="E5">
        <f t="shared" si="1"/>
        <v>68.705471149317248</v>
      </c>
      <c r="F5">
        <v>916.4056944400088</v>
      </c>
      <c r="G5">
        <f t="shared" si="2"/>
        <v>45.470901650432722</v>
      </c>
      <c r="H5">
        <f t="shared" si="3"/>
        <v>0.99105373120991769</v>
      </c>
      <c r="I5">
        <f t="shared" si="4"/>
        <v>45.064106742140552</v>
      </c>
      <c r="K5" t="s">
        <v>4</v>
      </c>
      <c r="L5">
        <v>9</v>
      </c>
    </row>
    <row r="6" spans="1:12" x14ac:dyDescent="0.3">
      <c r="A6">
        <v>4</v>
      </c>
      <c r="B6">
        <v>3.0000000000000001E-3</v>
      </c>
      <c r="C6">
        <f t="shared" si="5"/>
        <v>3423.7584370583318</v>
      </c>
      <c r="D6">
        <f t="shared" si="0"/>
        <v>1188.3500224810089</v>
      </c>
      <c r="E6">
        <f t="shared" si="1"/>
        <v>79.223334832067252</v>
      </c>
      <c r="F6">
        <v>1041.4694888155254</v>
      </c>
      <c r="G6">
        <f t="shared" si="2"/>
        <v>67.657198833416174</v>
      </c>
      <c r="H6">
        <f t="shared" si="3"/>
        <v>0.98808946282145349</v>
      </c>
      <c r="I6">
        <f t="shared" si="4"/>
        <v>66.851365251314462</v>
      </c>
      <c r="K6" t="s">
        <v>5</v>
      </c>
      <c r="L6">
        <v>10</v>
      </c>
    </row>
    <row r="7" spans="1:12" x14ac:dyDescent="0.3">
      <c r="A7">
        <v>5</v>
      </c>
      <c r="B7">
        <v>3.0000000000000001E-3</v>
      </c>
      <c r="C7">
        <f t="shared" si="5"/>
        <v>4220.6737517982619</v>
      </c>
      <c r="D7">
        <f t="shared" si="0"/>
        <v>1347.3225529677729</v>
      </c>
      <c r="E7">
        <f t="shared" si="1"/>
        <v>89.82150353118486</v>
      </c>
      <c r="F7">
        <v>1165.6614902814983</v>
      </c>
      <c r="G7">
        <f t="shared" si="2"/>
        <v>91.839559155089731</v>
      </c>
      <c r="H7">
        <f t="shared" si="3"/>
        <v>0.9851340606395349</v>
      </c>
      <c r="I7">
        <f t="shared" si="4"/>
        <v>90.474277837798326</v>
      </c>
      <c r="K7" t="s">
        <v>7</v>
      </c>
      <c r="L7" t="s">
        <v>6</v>
      </c>
    </row>
    <row r="8" spans="1:12" x14ac:dyDescent="0.3">
      <c r="A8">
        <v>6</v>
      </c>
      <c r="B8">
        <v>3.0000000000000001E-3</v>
      </c>
      <c r="C8">
        <f t="shared" si="5"/>
        <v>5084.8585455227421</v>
      </c>
      <c r="D8">
        <f t="shared" si="0"/>
        <v>1506.6411849930009</v>
      </c>
      <c r="E8">
        <f t="shared" si="1"/>
        <v>100.44274566620007</v>
      </c>
      <c r="F8">
        <v>1288.1919447874288</v>
      </c>
      <c r="G8">
        <f t="shared" si="2"/>
        <v>118.00649453937203</v>
      </c>
      <c r="H8">
        <f t="shared" si="3"/>
        <v>0.98218749814509987</v>
      </c>
      <c r="I8">
        <f t="shared" si="4"/>
        <v>115.9045036364992</v>
      </c>
      <c r="K8" s="1" t="s">
        <v>8</v>
      </c>
      <c r="L8">
        <f>1/(5+L5)</f>
        <v>7.1428571428571425E-2</v>
      </c>
    </row>
    <row r="9" spans="1:12" x14ac:dyDescent="0.3">
      <c r="A9">
        <v>7</v>
      </c>
      <c r="B9">
        <v>3.0000000000000001E-3</v>
      </c>
      <c r="C9">
        <f t="shared" si="5"/>
        <v>6009.8463084871182</v>
      </c>
      <c r="D9">
        <f t="shared" si="0"/>
        <v>1665.5609458325323</v>
      </c>
      <c r="E9">
        <f t="shared" si="1"/>
        <v>111.03739638883549</v>
      </c>
      <c r="F9">
        <v>1408.4405152995009</v>
      </c>
      <c r="G9">
        <f t="shared" si="2"/>
        <v>146.08303414419589</v>
      </c>
      <c r="H9">
        <f t="shared" si="3"/>
        <v>0.97924974889840477</v>
      </c>
      <c r="I9">
        <f t="shared" si="4"/>
        <v>143.05177450402093</v>
      </c>
      <c r="K9" t="s">
        <v>9</v>
      </c>
      <c r="L9">
        <f>1/(5+L6)</f>
        <v>6.6666666666666666E-2</v>
      </c>
    </row>
    <row r="10" spans="1:12" x14ac:dyDescent="0.3">
      <c r="A10">
        <v>8</v>
      </c>
      <c r="B10">
        <v>3.0000000000000001E-3</v>
      </c>
      <c r="C10">
        <f t="shared" si="5"/>
        <v>6989.0120874661116</v>
      </c>
      <c r="D10">
        <f t="shared" si="0"/>
        <v>1823.4421282655453</v>
      </c>
      <c r="E10">
        <f t="shared" si="1"/>
        <v>121.56280855103635</v>
      </c>
      <c r="F10">
        <v>1525.9255188056288</v>
      </c>
      <c r="G10">
        <f t="shared" si="2"/>
        <v>175.95380090888011</v>
      </c>
      <c r="H10">
        <f t="shared" si="3"/>
        <v>0.97632078653878851</v>
      </c>
      <c r="I10">
        <f t="shared" si="4"/>
        <v>171.78735329784723</v>
      </c>
      <c r="K10" t="s">
        <v>10</v>
      </c>
      <c r="L10">
        <f>100*L2+10*L3+L4</f>
        <v>1020</v>
      </c>
    </row>
    <row r="11" spans="1:12" x14ac:dyDescent="0.3">
      <c r="A11">
        <v>9</v>
      </c>
      <c r="B11">
        <v>3.0000000000000001E-3</v>
      </c>
      <c r="C11">
        <f t="shared" si="5"/>
        <v>8015.7224571670185</v>
      </c>
      <c r="D11">
        <f t="shared" si="0"/>
        <v>1979.7397918744396</v>
      </c>
      <c r="E11">
        <f t="shared" si="1"/>
        <v>131.98265279162931</v>
      </c>
      <c r="F11">
        <v>1472.0834446691679</v>
      </c>
      <c r="G11">
        <f t="shared" si="2"/>
        <v>375.67369441364235</v>
      </c>
      <c r="H11">
        <f t="shared" si="3"/>
        <v>0.97340058478443536</v>
      </c>
      <c r="I11">
        <f t="shared" si="4"/>
        <v>365.68099383036872</v>
      </c>
    </row>
    <row r="12" spans="1:12" x14ac:dyDescent="0.3">
      <c r="A12">
        <v>10</v>
      </c>
      <c r="B12">
        <v>3.0000000000000001E-3</v>
      </c>
      <c r="C12">
        <f t="shared" si="5"/>
        <v>8915.2542977528283</v>
      </c>
      <c r="D12">
        <f t="shared" si="0"/>
        <v>2110.1957825289537</v>
      </c>
      <c r="E12">
        <f t="shared" si="1"/>
        <v>140.67971883526357</v>
      </c>
      <c r="F12">
        <v>1291.6074521039952</v>
      </c>
      <c r="G12">
        <f t="shared" si="2"/>
        <v>677.90861158969494</v>
      </c>
      <c r="H12">
        <f t="shared" si="3"/>
        <v>0.97048911743213906</v>
      </c>
      <c r="I12">
        <f t="shared" si="4"/>
        <v>657.90293016132978</v>
      </c>
      <c r="K12" t="s">
        <v>21</v>
      </c>
    </row>
    <row r="13" spans="1:12" x14ac:dyDescent="0.3">
      <c r="A13">
        <v>11</v>
      </c>
      <c r="B13">
        <v>3.0000000000000001E-3</v>
      </c>
      <c r="C13">
        <f t="shared" si="5"/>
        <v>9570.0578714459079</v>
      </c>
      <c r="D13">
        <f t="shared" si="0"/>
        <v>2201.8678377565361</v>
      </c>
      <c r="E13">
        <f t="shared" si="1"/>
        <v>146.79118918376906</v>
      </c>
      <c r="F13">
        <v>1179.9349586488643</v>
      </c>
      <c r="G13">
        <f t="shared" si="2"/>
        <v>875.14168992390273</v>
      </c>
      <c r="H13">
        <f t="shared" si="3"/>
        <v>0.96758635835706785</v>
      </c>
      <c r="I13">
        <f t="shared" si="4"/>
        <v>846.77516079991926</v>
      </c>
    </row>
    <row r="14" spans="1:12" x14ac:dyDescent="0.3">
      <c r="A14">
        <v>12</v>
      </c>
      <c r="B14">
        <v>3.0000000000000001E-3</v>
      </c>
      <c r="C14">
        <f t="shared" si="5"/>
        <v>10066.417267848636</v>
      </c>
      <c r="D14">
        <f t="shared" si="0"/>
        <v>2269.6948205218055</v>
      </c>
      <c r="E14">
        <f t="shared" si="1"/>
        <v>151.31298803478703</v>
      </c>
      <c r="F14">
        <v>1112.5087731027243</v>
      </c>
      <c r="G14">
        <f t="shared" si="2"/>
        <v>1005.8730593842942</v>
      </c>
      <c r="H14">
        <f t="shared" si="3"/>
        <v>0.96469228151253039</v>
      </c>
      <c r="I14">
        <f t="shared" si="4"/>
        <v>970.35797656942373</v>
      </c>
    </row>
    <row r="15" spans="1:12" x14ac:dyDescent="0.3">
      <c r="A15">
        <v>13</v>
      </c>
      <c r="B15">
        <v>3.0000000000000001E-3</v>
      </c>
      <c r="C15">
        <f t="shared" si="5"/>
        <v>10459.896236105029</v>
      </c>
      <c r="D15">
        <f t="shared" si="0"/>
        <v>2322.5171799448499</v>
      </c>
      <c r="E15">
        <f t="shared" si="1"/>
        <v>154.83447866298999</v>
      </c>
      <c r="F15">
        <v>1073.6647926893991</v>
      </c>
      <c r="G15">
        <f t="shared" si="2"/>
        <v>1094.0179085924608</v>
      </c>
      <c r="H15">
        <f t="shared" si="3"/>
        <v>0.96180686092974133</v>
      </c>
      <c r="I15">
        <f t="shared" si="4"/>
        <v>1052.2339304642353</v>
      </c>
    </row>
    <row r="16" spans="1:12" x14ac:dyDescent="0.3">
      <c r="A16">
        <v>14</v>
      </c>
      <c r="B16">
        <v>3.0000000000000001E-3</v>
      </c>
      <c r="C16">
        <f t="shared" si="5"/>
        <v>10786.425583358354</v>
      </c>
      <c r="D16">
        <f t="shared" si="0"/>
        <v>2365.7510438349768</v>
      </c>
      <c r="E16">
        <f t="shared" si="1"/>
        <v>157.71673625566513</v>
      </c>
      <c r="F16">
        <v>1053.0860322304459</v>
      </c>
      <c r="G16">
        <f t="shared" si="2"/>
        <v>1154.9482753488658</v>
      </c>
      <c r="H16">
        <f t="shared" si="3"/>
        <v>0.95893007071758884</v>
      </c>
      <c r="I16">
        <f t="shared" si="4"/>
        <v>1107.5146313554451</v>
      </c>
    </row>
    <row r="17" spans="1:9" x14ac:dyDescent="0.3">
      <c r="A17">
        <v>15</v>
      </c>
      <c r="B17">
        <v>3.0000000000000001E-3</v>
      </c>
      <c r="C17">
        <f t="shared" si="5"/>
        <v>11069.052645348916</v>
      </c>
      <c r="D17">
        <f t="shared" si="0"/>
        <v>2402.7510805689212</v>
      </c>
      <c r="E17">
        <f t="shared" si="1"/>
        <v>160.18340537126141</v>
      </c>
      <c r="F17">
        <v>1043.8724235206193</v>
      </c>
      <c r="G17">
        <f t="shared" si="2"/>
        <v>1198.6952516770405</v>
      </c>
      <c r="H17">
        <f t="shared" si="3"/>
        <v>0.95606188506240175</v>
      </c>
      <c r="I17">
        <f t="shared" si="4"/>
        <v>1146.0268419337015</v>
      </c>
    </row>
    <row r="18" spans="1:9" x14ac:dyDescent="0.3">
      <c r="A18">
        <v>16</v>
      </c>
      <c r="B18">
        <v>3.0000000000000001E-3</v>
      </c>
      <c r="C18">
        <f t="shared" si="5"/>
        <v>11322.278451344613</v>
      </c>
      <c r="D18">
        <f t="shared" si="0"/>
        <v>2435.582294412628</v>
      </c>
      <c r="E18">
        <f t="shared" si="1"/>
        <v>162.37215296084187</v>
      </c>
      <c r="F18">
        <v>1041.40316768651</v>
      </c>
      <c r="G18">
        <f t="shared" si="2"/>
        <v>1231.8069737652761</v>
      </c>
      <c r="H18">
        <f t="shared" si="3"/>
        <v>0.95320227822771864</v>
      </c>
      <c r="I18">
        <f t="shared" si="4"/>
        <v>1174.1612137298528</v>
      </c>
    </row>
    <row r="19" spans="1:9" x14ac:dyDescent="0.3">
      <c r="A19">
        <v>17</v>
      </c>
      <c r="B19">
        <v>3.0000000000000001E-3</v>
      </c>
      <c r="C19">
        <f t="shared" si="5"/>
        <v>11554.94744393508</v>
      </c>
      <c r="D19">
        <f t="shared" si="0"/>
        <v>2465.4902767950598</v>
      </c>
      <c r="E19">
        <f t="shared" si="1"/>
        <v>164.36601845300399</v>
      </c>
      <c r="F19">
        <v>1042.6111546926097</v>
      </c>
      <c r="G19">
        <f t="shared" si="2"/>
        <v>1258.5131036494461</v>
      </c>
      <c r="H19">
        <f t="shared" si="3"/>
        <v>0.95035122455405663</v>
      </c>
      <c r="I19">
        <f t="shared" si="4"/>
        <v>1196.0294691705774</v>
      </c>
    </row>
    <row r="20" spans="1:9" x14ac:dyDescent="0.3">
      <c r="A20">
        <v>18</v>
      </c>
      <c r="B20">
        <v>3.0000000000000001E-3</v>
      </c>
      <c r="C20">
        <f t="shared" si="5"/>
        <v>11772.205209775184</v>
      </c>
      <c r="D20">
        <f t="shared" si="0"/>
        <v>2493.2004915000271</v>
      </c>
      <c r="E20">
        <f t="shared" si="1"/>
        <v>166.21336610000179</v>
      </c>
      <c r="F20">
        <v>1045.506534963504</v>
      </c>
      <c r="G20">
        <f t="shared" si="2"/>
        <v>1281.4805904365212</v>
      </c>
      <c r="H20">
        <f t="shared" si="3"/>
        <v>0.94750869845868069</v>
      </c>
      <c r="I20">
        <f t="shared" si="4"/>
        <v>1214.21400634457</v>
      </c>
    </row>
    <row r="21" spans="1:9" x14ac:dyDescent="0.3">
      <c r="A21">
        <v>19</v>
      </c>
      <c r="B21">
        <v>3.0000000000000001E-3</v>
      </c>
      <c r="C21">
        <f t="shared" si="5"/>
        <v>11976.839944040461</v>
      </c>
      <c r="D21">
        <f t="shared" si="0"/>
        <v>2519.1142053139529</v>
      </c>
      <c r="E21">
        <f t="shared" si="1"/>
        <v>167.9409470209302</v>
      </c>
      <c r="F21">
        <v>1048.8441003072971</v>
      </c>
      <c r="G21">
        <f t="shared" si="2"/>
        <v>1302.3291579857255</v>
      </c>
      <c r="H21">
        <f t="shared" si="3"/>
        <v>0.94467467443537456</v>
      </c>
      <c r="I21">
        <f t="shared" si="4"/>
        <v>1230.2773733278607</v>
      </c>
    </row>
    <row r="22" spans="1:9" x14ac:dyDescent="0.3">
      <c r="A22">
        <v>20</v>
      </c>
      <c r="B22">
        <v>3.0000000000000001E-3</v>
      </c>
      <c r="C22">
        <f t="shared" si="5"/>
        <v>12170.195476916297</v>
      </c>
      <c r="D22">
        <f t="shared" si="0"/>
        <v>2543.4373337699844</v>
      </c>
      <c r="E22">
        <f t="shared" si="1"/>
        <v>169.56248891799896</v>
      </c>
      <c r="F22">
        <v>1051.8910314099917</v>
      </c>
      <c r="G22">
        <f t="shared" si="2"/>
        <v>1321.9838134419938</v>
      </c>
      <c r="H22">
        <f t="shared" si="3"/>
        <v>0.94184912705421209</v>
      </c>
      <c r="I22">
        <f t="shared" si="4"/>
        <v>1245.1093006701403</v>
      </c>
    </row>
    <row r="23" spans="1:9" x14ac:dyDescent="0.3">
      <c r="A23">
        <v>21</v>
      </c>
      <c r="B23">
        <v>3.0000000000000001E-3</v>
      </c>
      <c r="C23">
        <f t="shared" si="5"/>
        <v>12352.786831403697</v>
      </c>
      <c r="D23">
        <f t="shared" si="0"/>
        <v>2566.2648626900464</v>
      </c>
      <c r="E23">
        <f t="shared" si="1"/>
        <v>171.08432417933642</v>
      </c>
      <c r="F23">
        <v>1054.2586951917244</v>
      </c>
      <c r="G23">
        <f t="shared" si="2"/>
        <v>1340.9218433189856</v>
      </c>
      <c r="H23">
        <f t="shared" si="3"/>
        <v>0.93903203096132815</v>
      </c>
      <c r="I23">
        <f t="shared" si="4"/>
        <v>1259.1685618922349</v>
      </c>
    </row>
    <row r="24" spans="1:9" x14ac:dyDescent="0.3">
      <c r="A24">
        <v>22</v>
      </c>
      <c r="B24">
        <v>3.0000000000000001E-3</v>
      </c>
      <c r="C24">
        <f t="shared" si="5"/>
        <v>12524.703610066586</v>
      </c>
      <c r="D24">
        <f t="shared" si="0"/>
        <v>2587.6348041011388</v>
      </c>
      <c r="E24">
        <f t="shared" si="1"/>
        <v>172.50898694007591</v>
      </c>
      <c r="F24">
        <v>1055.7842458088987</v>
      </c>
      <c r="G24">
        <f t="shared" si="2"/>
        <v>1359.3415713521642</v>
      </c>
      <c r="H24">
        <f t="shared" si="3"/>
        <v>0.9362233608786924</v>
      </c>
      <c r="I24">
        <f t="shared" si="4"/>
        <v>1272.6473345134461</v>
      </c>
    </row>
    <row r="25" spans="1:9" x14ac:dyDescent="0.3">
      <c r="A25">
        <v>23</v>
      </c>
      <c r="B25">
        <v>3.0000000000000001E-3</v>
      </c>
      <c r="C25">
        <f t="shared" si="5"/>
        <v>12685.866169442157</v>
      </c>
      <c r="D25">
        <f t="shared" si="0"/>
        <v>2607.5616474082353</v>
      </c>
      <c r="E25">
        <f t="shared" si="1"/>
        <v>173.83744316054901</v>
      </c>
      <c r="F25">
        <v>1056.4474302329143</v>
      </c>
      <c r="G25">
        <f t="shared" si="2"/>
        <v>1377.2767740147719</v>
      </c>
      <c r="H25">
        <f t="shared" si="3"/>
        <v>0.93342309160388093</v>
      </c>
      <c r="I25">
        <f t="shared" si="4"/>
        <v>1285.5819443950882</v>
      </c>
    </row>
    <row r="26" spans="1:9" x14ac:dyDescent="0.3">
      <c r="A26">
        <v>24</v>
      </c>
      <c r="B26">
        <v>3.0000000000000001E-3</v>
      </c>
      <c r="C26">
        <f t="shared" si="5"/>
        <v>12836.180301857776</v>
      </c>
      <c r="D26">
        <f t="shared" si="0"/>
        <v>2626.0560701578597</v>
      </c>
      <c r="E26">
        <f t="shared" si="1"/>
        <v>175.07040467719065</v>
      </c>
      <c r="F26">
        <v>1056.3110570994688</v>
      </c>
      <c r="G26">
        <f t="shared" si="2"/>
        <v>1394.6746083812002</v>
      </c>
      <c r="H26">
        <f t="shared" si="3"/>
        <v>0.93063119800985139</v>
      </c>
      <c r="I26">
        <f t="shared" si="4"/>
        <v>1297.9277016317167</v>
      </c>
    </row>
    <row r="27" spans="1:9" x14ac:dyDescent="0.3">
      <c r="A27">
        <v>25</v>
      </c>
      <c r="B27">
        <v>3.0000000000000001E-3</v>
      </c>
      <c r="C27">
        <f t="shared" si="5"/>
        <v>12975.621337395974</v>
      </c>
      <c r="D27">
        <f t="shared" si="0"/>
        <v>2643.1353758906757</v>
      </c>
      <c r="E27">
        <f t="shared" si="1"/>
        <v>176.20902505937838</v>
      </c>
      <c r="F27">
        <v>1055.4815217137759</v>
      </c>
      <c r="G27">
        <f t="shared" si="2"/>
        <v>1411.4448291175215</v>
      </c>
      <c r="H27">
        <f t="shared" si="3"/>
        <v>0.92784765504471733</v>
      </c>
      <c r="I27">
        <f t="shared" si="4"/>
        <v>1309.6057749216841</v>
      </c>
    </row>
    <row r="28" spans="1:9" x14ac:dyDescent="0.3">
      <c r="A28">
        <v>26</v>
      </c>
      <c r="B28">
        <v>3.0000000000000001E-3</v>
      </c>
      <c r="C28">
        <f t="shared" si="5"/>
        <v>13104.272763581468</v>
      </c>
      <c r="D28">
        <f t="shared" si="0"/>
        <v>2658.8281245881681</v>
      </c>
      <c r="E28">
        <f t="shared" si="1"/>
        <v>177.25520830587786</v>
      </c>
      <c r="F28">
        <v>1054.0864906502957</v>
      </c>
      <c r="G28">
        <f t="shared" si="2"/>
        <v>1427.4864256319945</v>
      </c>
      <c r="H28">
        <f t="shared" si="3"/>
        <v>0.92507243773152303</v>
      </c>
      <c r="I28">
        <f t="shared" si="4"/>
        <v>1320.5283475880476</v>
      </c>
    </row>
    <row r="29" spans="1:9" x14ac:dyDescent="0.3">
      <c r="A29">
        <v>27</v>
      </c>
      <c r="B29">
        <v>3.0000000000000001E-3</v>
      </c>
      <c r="C29">
        <f t="shared" si="5"/>
        <v>13222.339771118803</v>
      </c>
      <c r="D29">
        <f t="shared" si="0"/>
        <v>2673.1756544275063</v>
      </c>
      <c r="E29">
        <f t="shared" si="1"/>
        <v>178.21171029516708</v>
      </c>
      <c r="F29">
        <v>1052.2580895148155</v>
      </c>
      <c r="G29">
        <f t="shared" si="2"/>
        <v>1442.7058546175238</v>
      </c>
      <c r="H29">
        <f t="shared" si="3"/>
        <v>0.92230552116801889</v>
      </c>
      <c r="I29">
        <f t="shared" si="4"/>
        <v>1330.6155751351673</v>
      </c>
    </row>
    <row r="30" spans="1:9" x14ac:dyDescent="0.3">
      <c r="A30">
        <v>28</v>
      </c>
      <c r="B30">
        <v>3.0000000000000001E-3</v>
      </c>
      <c r="C30">
        <f t="shared" si="5"/>
        <v>13330.145019839418</v>
      </c>
      <c r="D30">
        <f t="shared" si="0"/>
        <v>2686.2314777584488</v>
      </c>
      <c r="E30">
        <f t="shared" si="1"/>
        <v>179.08209851722992</v>
      </c>
      <c r="F30">
        <v>1050.1283005324619</v>
      </c>
      <c r="G30">
        <f t="shared" si="2"/>
        <v>1457.0210787087569</v>
      </c>
      <c r="H30">
        <f t="shared" si="3"/>
        <v>0.91954688052643974</v>
      </c>
      <c r="I30">
        <f t="shared" si="4"/>
        <v>1339.7991877879056</v>
      </c>
    </row>
    <row r="31" spans="1:9" x14ac:dyDescent="0.3">
      <c r="A31">
        <v>29</v>
      </c>
      <c r="B31">
        <v>3.0000000000000001E-3</v>
      </c>
      <c r="C31">
        <f t="shared" si="5"/>
        <v>13428.120104669064</v>
      </c>
      <c r="D31">
        <f t="shared" si="0"/>
        <v>2698.0602254596583</v>
      </c>
      <c r="E31">
        <f t="shared" si="1"/>
        <v>179.87068169731054</v>
      </c>
      <c r="F31">
        <v>1047.8271561402573</v>
      </c>
      <c r="G31">
        <f t="shared" si="2"/>
        <v>1470.3623876220904</v>
      </c>
      <c r="H31">
        <f t="shared" si="3"/>
        <v>0.91679649105328009</v>
      </c>
      <c r="I31">
        <f t="shared" si="4"/>
        <v>1348.0230775486555</v>
      </c>
    </row>
    <row r="32" spans="1:9" x14ac:dyDescent="0.3">
      <c r="A32">
        <v>30</v>
      </c>
      <c r="B32">
        <v>3.0000000000000001E-3</v>
      </c>
      <c r="C32">
        <f t="shared" si="5"/>
        <v>13516.795824761532</v>
      </c>
      <c r="D32">
        <f t="shared" si="0"/>
        <v>2708.7365111768759</v>
      </c>
      <c r="E32">
        <f t="shared" si="1"/>
        <v>180.58243407845839</v>
      </c>
      <c r="F32">
        <v>1045.4886557017874</v>
      </c>
      <c r="G32">
        <f t="shared" si="2"/>
        <v>1482.6654213966301</v>
      </c>
      <c r="H32">
        <f t="shared" si="3"/>
        <v>0.91405432806907294</v>
      </c>
      <c r="I32">
        <f t="shared" si="4"/>
        <v>1355.2367455059457</v>
      </c>
    </row>
    <row r="33" spans="1:9" x14ac:dyDescent="0.3">
      <c r="A33">
        <v>31</v>
      </c>
      <c r="B33">
        <v>3.0000000000000001E-3</v>
      </c>
      <c r="C33">
        <f t="shared" si="5"/>
        <v>13596.799064408924</v>
      </c>
      <c r="D33">
        <f t="shared" si="0"/>
        <v>2718.3446405789091</v>
      </c>
      <c r="E33">
        <f t="shared" si="1"/>
        <v>181.22297603859394</v>
      </c>
      <c r="F33">
        <v>1043.253484947468</v>
      </c>
      <c r="G33">
        <f t="shared" si="2"/>
        <v>1493.8681795928471</v>
      </c>
      <c r="H33">
        <f t="shared" si="3"/>
        <v>0.91132036696816865</v>
      </c>
      <c r="I33">
        <f t="shared" si="4"/>
        <v>1361.3924976286235</v>
      </c>
    </row>
    <row r="34" spans="1:9" x14ac:dyDescent="0.3">
      <c r="A34">
        <v>32</v>
      </c>
      <c r="B34">
        <v>3.0000000000000001E-3</v>
      </c>
      <c r="C34">
        <f t="shared" si="5"/>
        <v>13668.852616184327</v>
      </c>
      <c r="D34">
        <f t="shared" si="0"/>
        <v>2726.9787009666561</v>
      </c>
      <c r="E34">
        <f t="shared" si="1"/>
        <v>181.79858006444374</v>
      </c>
      <c r="F34">
        <v>1041.2809651957007</v>
      </c>
      <c r="G34">
        <f t="shared" si="2"/>
        <v>1503.8991557065117</v>
      </c>
      <c r="H34">
        <f t="shared" si="3"/>
        <v>0.90859458321851316</v>
      </c>
      <c r="I34">
        <f t="shared" si="4"/>
        <v>1366.4346265818319</v>
      </c>
    </row>
    <row r="35" spans="1:9" x14ac:dyDescent="0.3">
      <c r="A35">
        <v>33</v>
      </c>
      <c r="B35">
        <v>3.0000000000000001E-3</v>
      </c>
      <c r="C35">
        <f t="shared" si="5"/>
        <v>13733.786965938292</v>
      </c>
      <c r="D35">
        <f t="shared" si="0"/>
        <v>2734.7440954375234</v>
      </c>
      <c r="E35">
        <f t="shared" si="1"/>
        <v>182.31627302916823</v>
      </c>
      <c r="F35">
        <v>1039.7525995188698</v>
      </c>
      <c r="G35">
        <f t="shared" si="2"/>
        <v>1512.6752228894852</v>
      </c>
      <c r="H35">
        <f t="shared" si="3"/>
        <v>0.90587695236142907</v>
      </c>
      <c r="I35">
        <f t="shared" si="4"/>
        <v>1370.2976208237724</v>
      </c>
    </row>
    <row r="36" spans="1:9" x14ac:dyDescent="0.3">
      <c r="A36">
        <v>34</v>
      </c>
      <c r="B36">
        <v>3.0000000000000001E-3</v>
      </c>
      <c r="C36">
        <f t="shared" si="5"/>
        <v>13792.554782175856</v>
      </c>
      <c r="D36">
        <f t="shared" si="0"/>
        <v>2741.7593929994341</v>
      </c>
      <c r="E36">
        <f t="shared" si="1"/>
        <v>182.78395953329562</v>
      </c>
      <c r="F36">
        <v>1038.8806421344464</v>
      </c>
      <c r="G36">
        <f t="shared" si="2"/>
        <v>1520.0947913316922</v>
      </c>
      <c r="H36">
        <f t="shared" si="3"/>
        <v>0.90316745001139487</v>
      </c>
      <c r="I36">
        <f t="shared" si="4"/>
        <v>1372.9001364626479</v>
      </c>
    </row>
    <row r="37" spans="1:9" x14ac:dyDescent="0.3">
      <c r="A37">
        <v>35</v>
      </c>
      <c r="B37">
        <v>3.0000000000000001E-3</v>
      </c>
      <c r="C37">
        <f t="shared" si="5"/>
        <v>13846.252939869171</v>
      </c>
      <c r="D37">
        <f t="shared" si="0"/>
        <v>2748.1590629271486</v>
      </c>
      <c r="E37">
        <f t="shared" si="1"/>
        <v>183.21060419514325</v>
      </c>
      <c r="F37">
        <v>1038.9089019825622</v>
      </c>
      <c r="G37">
        <f t="shared" si="2"/>
        <v>1526.0395567494431</v>
      </c>
      <c r="H37">
        <f t="shared" si="3"/>
        <v>0.90046605185582762</v>
      </c>
      <c r="I37">
        <f t="shared" si="4"/>
        <v>1374.1468146419882</v>
      </c>
    </row>
    <row r="38" spans="1:9" x14ac:dyDescent="0.3">
      <c r="A38">
        <v>36</v>
      </c>
      <c r="B38">
        <v>3.0000000000000001E-3</v>
      </c>
      <c r="C38">
        <f t="shared" si="5"/>
        <v>13896.143774718223</v>
      </c>
      <c r="D38">
        <f t="shared" si="0"/>
        <v>2754.0960905469565</v>
      </c>
      <c r="E38">
        <f t="shared" si="1"/>
        <v>183.60640603646377</v>
      </c>
      <c r="F38">
        <v>1040.1059005504496</v>
      </c>
      <c r="G38">
        <f t="shared" si="2"/>
        <v>1530.383783960043</v>
      </c>
      <c r="H38">
        <f t="shared" si="3"/>
        <v>0.89777273365486299</v>
      </c>
      <c r="I38">
        <f t="shared" si="4"/>
        <v>1373.9368332668812</v>
      </c>
    </row>
    <row r="39" spans="1:9" x14ac:dyDescent="0.3">
      <c r="A39">
        <v>37</v>
      </c>
      <c r="B39">
        <v>3.0000000000000001E-3</v>
      </c>
      <c r="C39">
        <f t="shared" si="5"/>
        <v>13943.667977074514</v>
      </c>
      <c r="D39">
        <f t="shared" si="0"/>
        <v>2759.7435639581722</v>
      </c>
      <c r="E39">
        <f t="shared" si="1"/>
        <v>183.98290426387814</v>
      </c>
      <c r="F39">
        <v>1042.747896680238</v>
      </c>
      <c r="G39">
        <f t="shared" si="2"/>
        <v>1533.012763014056</v>
      </c>
      <c r="H39">
        <f t="shared" si="3"/>
        <v>0.89508747124113963</v>
      </c>
      <c r="I39">
        <f t="shared" si="4"/>
        <v>1372.1805174266437</v>
      </c>
    </row>
    <row r="40" spans="1:9" x14ac:dyDescent="0.3">
      <c r="A40">
        <v>38</v>
      </c>
      <c r="B40">
        <v>3.0000000000000001E-3</v>
      </c>
      <c r="C40">
        <f t="shared" si="5"/>
        <v>13990.439589678001</v>
      </c>
      <c r="D40">
        <f t="shared" si="0"/>
        <v>2765.2940919239018</v>
      </c>
      <c r="E40">
        <f t="shared" si="1"/>
        <v>184.35293946159345</v>
      </c>
      <c r="F40">
        <v>1047.0794806113936</v>
      </c>
      <c r="G40">
        <f t="shared" si="2"/>
        <v>1533.8616718509147</v>
      </c>
      <c r="H40">
        <f t="shared" si="3"/>
        <v>0.89241024051958118</v>
      </c>
      <c r="I40">
        <f t="shared" si="4"/>
        <v>1368.8338635002417</v>
      </c>
    </row>
    <row r="41" spans="1:9" x14ac:dyDescent="0.3">
      <c r="A41">
        <v>39</v>
      </c>
      <c r="B41">
        <v>3.0000000000000001E-3</v>
      </c>
      <c r="C41">
        <f t="shared" si="5"/>
        <v>14038.201956740966</v>
      </c>
      <c r="D41">
        <f t="shared" si="0"/>
        <v>2770.954541134005</v>
      </c>
      <c r="E41">
        <f t="shared" si="1"/>
        <v>184.73030274226699</v>
      </c>
      <c r="F41">
        <v>1053.249760638811</v>
      </c>
      <c r="G41">
        <f t="shared" si="2"/>
        <v>1532.974477752927</v>
      </c>
      <c r="H41">
        <f t="shared" si="3"/>
        <v>0.88974101746717971</v>
      </c>
      <c r="I41">
        <f t="shared" si="4"/>
        <v>1363.9502715871076</v>
      </c>
    </row>
    <row r="42" spans="1:9" x14ac:dyDescent="0.3">
      <c r="A42">
        <v>40</v>
      </c>
      <c r="B42">
        <v>3.0000000000000001E-3</v>
      </c>
      <c r="C42">
        <f t="shared" si="5"/>
        <v>14088.723006183995</v>
      </c>
      <c r="D42">
        <f t="shared" si="0"/>
        <v>2776.933552105404</v>
      </c>
      <c r="E42">
        <f t="shared" si="1"/>
        <v>185.12890347369361</v>
      </c>
      <c r="F42">
        <v>1061.2038589920314</v>
      </c>
      <c r="G42">
        <f t="shared" si="2"/>
        <v>1530.6007896396791</v>
      </c>
      <c r="H42">
        <f t="shared" si="3"/>
        <v>0.88707977813278149</v>
      </c>
      <c r="I42">
        <f t="shared" si="4"/>
        <v>1357.7650088834266</v>
      </c>
    </row>
    <row r="43" spans="1:9" x14ac:dyDescent="0.3">
      <c r="A43">
        <v>41</v>
      </c>
      <c r="B43">
        <v>3.0000000000000001E-3</v>
      </c>
      <c r="C43">
        <f t="shared" si="5"/>
        <v>14143.589507591456</v>
      </c>
      <c r="D43">
        <f t="shared" si="0"/>
        <v>2783.417127988278</v>
      </c>
      <c r="E43">
        <f t="shared" si="1"/>
        <v>185.56114186588519</v>
      </c>
      <c r="F43">
        <v>1070.5182328809708</v>
      </c>
      <c r="G43">
        <f t="shared" si="2"/>
        <v>1527.337753241422</v>
      </c>
      <c r="H43">
        <f t="shared" si="3"/>
        <v>0.88442649863687106</v>
      </c>
      <c r="I43">
        <f t="shared" si="4"/>
        <v>1350.8179813352162</v>
      </c>
    </row>
    <row r="44" spans="1:9" x14ac:dyDescent="0.3">
      <c r="A44">
        <v>42</v>
      </c>
      <c r="B44">
        <v>3.0000000000000001E-3</v>
      </c>
      <c r="C44">
        <f t="shared" si="5"/>
        <v>14203.851347073038</v>
      </c>
      <c r="D44">
        <f t="shared" si="0"/>
        <v>2790.5266889493109</v>
      </c>
      <c r="E44">
        <f t="shared" si="1"/>
        <v>186.03511259662073</v>
      </c>
      <c r="F44">
        <v>1080.1532375392219</v>
      </c>
      <c r="G44">
        <f t="shared" si="2"/>
        <v>1524.3383388134682</v>
      </c>
      <c r="H44">
        <f t="shared" si="3"/>
        <v>0.88178115517135724</v>
      </c>
      <c r="I44">
        <f t="shared" si="4"/>
        <v>1344.1328212709277</v>
      </c>
    </row>
    <row r="45" spans="1:9" x14ac:dyDescent="0.3">
      <c r="A45">
        <v>43</v>
      </c>
      <c r="B45">
        <v>3.0000000000000001E-3</v>
      </c>
      <c r="C45">
        <f t="shared" si="5"/>
        <v>14269.443774107043</v>
      </c>
      <c r="D45">
        <f t="shared" si="0"/>
        <v>2798.2514416031399</v>
      </c>
      <c r="E45">
        <f t="shared" si="1"/>
        <v>186.550096106876</v>
      </c>
      <c r="F45">
        <v>1088.0890097604522</v>
      </c>
      <c r="G45">
        <f t="shared" si="2"/>
        <v>1523.6123357358117</v>
      </c>
      <c r="H45">
        <f t="shared" si="3"/>
        <v>0.87914372399935892</v>
      </c>
      <c r="I45">
        <f t="shared" si="4"/>
        <v>1339.4742227701431</v>
      </c>
    </row>
    <row r="46" spans="1:9" x14ac:dyDescent="0.3">
      <c r="A46">
        <v>44</v>
      </c>
      <c r="B46">
        <v>3.0000000000000001E-3</v>
      </c>
      <c r="C46">
        <f t="shared" si="5"/>
        <v>14338.286800002707</v>
      </c>
      <c r="D46">
        <f t="shared" si="0"/>
        <v>2806.3437528987797</v>
      </c>
      <c r="E46">
        <f t="shared" si="1"/>
        <v>187.0895835265853</v>
      </c>
      <c r="F46">
        <v>1090.7972096016028</v>
      </c>
      <c r="G46">
        <f t="shared" si="2"/>
        <v>1528.4569597705915</v>
      </c>
      <c r="H46">
        <f t="shared" si="3"/>
        <v>0.87651418145499405</v>
      </c>
      <c r="I46">
        <f t="shared" si="4"/>
        <v>1339.7142009825088</v>
      </c>
    </row>
    <row r="47" spans="1:9" x14ac:dyDescent="0.3">
      <c r="A47">
        <v>45</v>
      </c>
      <c r="B47">
        <v>3.0000000000000001E-3</v>
      </c>
      <c r="C47">
        <f t="shared" si="5"/>
        <v>14404.920666746973</v>
      </c>
      <c r="D47">
        <f t="shared" si="0"/>
        <v>2814.161595097808</v>
      </c>
      <c r="E47">
        <f t="shared" si="1"/>
        <v>187.61077300652053</v>
      </c>
      <c r="F47">
        <v>1082.4772729735384</v>
      </c>
      <c r="G47">
        <f t="shared" si="2"/>
        <v>1544.0735491177491</v>
      </c>
      <c r="H47">
        <f t="shared" si="3"/>
        <v>0.87389250394316476</v>
      </c>
      <c r="I47">
        <f t="shared" si="4"/>
        <v>1349.354300110919</v>
      </c>
    </row>
    <row r="48" spans="1:9" x14ac:dyDescent="0.3">
      <c r="A48">
        <v>46</v>
      </c>
      <c r="B48">
        <v>3.0000000000000001E-3</v>
      </c>
      <c r="C48">
        <f t="shared" si="5"/>
        <v>14458.475034952871</v>
      </c>
      <c r="D48">
        <f t="shared" si="0"/>
        <v>2820.4344006967854</v>
      </c>
      <c r="E48">
        <f t="shared" si="1"/>
        <v>188.02896004645237</v>
      </c>
      <c r="F48">
        <v>1053.9415583392818</v>
      </c>
      <c r="G48">
        <f t="shared" si="2"/>
        <v>1578.4638823110513</v>
      </c>
      <c r="H48">
        <f t="shared" si="3"/>
        <v>0.87127866793934705</v>
      </c>
      <c r="I48">
        <f t="shared" si="4"/>
        <v>1375.2819087703431</v>
      </c>
    </row>
    <row r="49" spans="1:9" x14ac:dyDescent="0.3">
      <c r="A49">
        <v>47</v>
      </c>
      <c r="B49">
        <v>3.0000000000000001E-3</v>
      </c>
      <c r="C49">
        <f t="shared" si="5"/>
        <v>14479.668376509806</v>
      </c>
      <c r="D49">
        <f t="shared" si="0"/>
        <v>2822.9142023852601</v>
      </c>
      <c r="E49">
        <f t="shared" si="1"/>
        <v>188.19428015901732</v>
      </c>
      <c r="F49">
        <v>990.96085423358852</v>
      </c>
      <c r="G49">
        <f t="shared" si="2"/>
        <v>1643.7590679926541</v>
      </c>
      <c r="H49">
        <f t="shared" si="3"/>
        <v>0.86867264998937888</v>
      </c>
      <c r="I49">
        <f t="shared" si="4"/>
        <v>1427.8885455372504</v>
      </c>
    </row>
    <row r="50" spans="1:9" x14ac:dyDescent="0.3">
      <c r="A50">
        <v>48</v>
      </c>
      <c r="B50">
        <v>3.0000000000000001E-3</v>
      </c>
      <c r="C50">
        <f t="shared" si="5"/>
        <v>14436.367203849837</v>
      </c>
      <c r="D50">
        <f t="shared" si="0"/>
        <v>2817.846046006408</v>
      </c>
      <c r="E50">
        <f t="shared" si="1"/>
        <v>187.85640306709385</v>
      </c>
      <c r="F50">
        <v>871.72704902843464</v>
      </c>
      <c r="G50">
        <f t="shared" si="2"/>
        <v>1758.2625939108796</v>
      </c>
      <c r="H50">
        <f t="shared" si="3"/>
        <v>0.86607442670925128</v>
      </c>
      <c r="I50">
        <f t="shared" si="4"/>
        <v>1522.786268025686</v>
      </c>
    </row>
    <row r="51" spans="1:9" x14ac:dyDescent="0.3">
      <c r="A51">
        <v>49</v>
      </c>
      <c r="B51">
        <v>3.0000000000000001E-3</v>
      </c>
      <c r="C51">
        <f t="shared" si="5"/>
        <v>14276.925166888999</v>
      </c>
      <c r="D51">
        <f t="shared" si="0"/>
        <v>2799.1316142490978</v>
      </c>
      <c r="E51">
        <f t="shared" si="1"/>
        <v>186.60877428327319</v>
      </c>
      <c r="F51">
        <v>662.76623056474</v>
      </c>
      <c r="G51">
        <f t="shared" si="2"/>
        <v>1949.7566094010845</v>
      </c>
      <c r="H51">
        <f t="shared" si="3"/>
        <v>0.86348397478489658</v>
      </c>
      <c r="I51">
        <f t="shared" si="4"/>
        <v>1683.5835869487714</v>
      </c>
    </row>
    <row r="52" spans="1:9" x14ac:dyDescent="0.3">
      <c r="A52">
        <v>50</v>
      </c>
      <c r="B52">
        <v>3.0000000000000001E-3</v>
      </c>
      <c r="C52">
        <f t="shared" si="5"/>
        <v>13919.911028390241</v>
      </c>
      <c r="D52">
        <f t="shared" si="0"/>
        <v>2756.9214035994746</v>
      </c>
      <c r="E52">
        <f t="shared" si="1"/>
        <v>183.79476023996497</v>
      </c>
      <c r="F52">
        <v>311.85373103275799</v>
      </c>
      <c r="G52">
        <f t="shared" si="2"/>
        <v>2261.2729123267518</v>
      </c>
      <c r="H52">
        <f t="shared" si="3"/>
        <v>0.86090127097198077</v>
      </c>
      <c r="I52">
        <f t="shared" si="4"/>
        <v>1946.732724236613</v>
      </c>
    </row>
    <row r="53" spans="1:9" x14ac:dyDescent="0.3">
      <c r="A53">
        <v>51</v>
      </c>
      <c r="B53">
        <v>3.0000000000000001E-3</v>
      </c>
      <c r="C53">
        <f t="shared" si="5"/>
        <v>13237.485400252268</v>
      </c>
      <c r="D53">
        <f t="shared" si="0"/>
        <v>2675.0124393315905</v>
      </c>
      <c r="E53">
        <f t="shared" si="1"/>
        <v>178.33416262210602</v>
      </c>
      <c r="F53">
        <v>0</v>
      </c>
      <c r="G53">
        <f t="shared" si="2"/>
        <v>2496.6782767094846</v>
      </c>
      <c r="H53">
        <f t="shared" si="3"/>
        <v>0.85832629209569378</v>
      </c>
      <c r="I53">
        <f t="shared" si="4"/>
        <v>2142.9646078039186</v>
      </c>
    </row>
    <row r="54" spans="1:9" x14ac:dyDescent="0.3">
      <c r="A54">
        <v>52</v>
      </c>
      <c r="B54">
        <v>3.0000000000000001E-3</v>
      </c>
      <c r="C54">
        <f t="shared" si="5"/>
        <v>12291.950728805677</v>
      </c>
      <c r="D54">
        <f t="shared" si="0"/>
        <v>2558.6742346637393</v>
      </c>
      <c r="E54">
        <f t="shared" si="1"/>
        <v>170.57828231091594</v>
      </c>
      <c r="F54">
        <v>0</v>
      </c>
      <c r="G54">
        <f t="shared" si="2"/>
        <v>2388.0959523528236</v>
      </c>
      <c r="H54">
        <f t="shared" si="3"/>
        <v>0.8557590150505423</v>
      </c>
      <c r="I54">
        <f t="shared" si="4"/>
        <v>2043.634640031639</v>
      </c>
    </row>
    <row r="55" spans="1:9" x14ac:dyDescent="0.3">
      <c r="A55">
        <v>53</v>
      </c>
      <c r="B55">
        <v>3.0000000000000001E-3</v>
      </c>
      <c r="C55">
        <f t="shared" si="5"/>
        <v>11413.9542481767</v>
      </c>
      <c r="D55">
        <f t="shared" si="0"/>
        <v>2447.3956617442627</v>
      </c>
      <c r="E55">
        <f t="shared" si="1"/>
        <v>163.15971078295084</v>
      </c>
      <c r="F55">
        <v>0</v>
      </c>
      <c r="G55">
        <f t="shared" si="2"/>
        <v>2284.235950961312</v>
      </c>
      <c r="H55">
        <f t="shared" si="3"/>
        <v>0.853199416800142</v>
      </c>
      <c r="I55">
        <f t="shared" si="4"/>
        <v>1948.9087811941092</v>
      </c>
    </row>
    <row r="56" spans="1:9" x14ac:dyDescent="0.3">
      <c r="A56">
        <v>54</v>
      </c>
      <c r="B56">
        <v>3.0000000000000001E-3</v>
      </c>
      <c r="C56">
        <f t="shared" si="5"/>
        <v>10598.671801878365</v>
      </c>
      <c r="D56">
        <f t="shared" si="0"/>
        <v>2340.9566735688077</v>
      </c>
      <c r="E56">
        <f t="shared" si="1"/>
        <v>156.0637782379205</v>
      </c>
      <c r="F56">
        <v>2.8421709430404007E-14</v>
      </c>
      <c r="G56">
        <f t="shared" si="2"/>
        <v>2184.8928953308873</v>
      </c>
      <c r="H56">
        <f t="shared" si="3"/>
        <v>0.85064747437701116</v>
      </c>
      <c r="I56">
        <f t="shared" si="4"/>
        <v>1858.5736231974947</v>
      </c>
    </row>
    <row r="57" spans="1:9" x14ac:dyDescent="0.3">
      <c r="A57">
        <v>55</v>
      </c>
      <c r="B57">
        <v>3.0000000000000001E-3</v>
      </c>
      <c r="C57">
        <f t="shared" si="5"/>
        <v>9841.6238160299108</v>
      </c>
      <c r="D57">
        <f t="shared" si="0"/>
        <v>2239.1467931346551</v>
      </c>
      <c r="E57">
        <f t="shared" si="1"/>
        <v>149.27645287564368</v>
      </c>
      <c r="F57">
        <v>0</v>
      </c>
      <c r="G57">
        <f t="shared" si="2"/>
        <v>2089.8703402590113</v>
      </c>
      <c r="H57">
        <f t="shared" si="3"/>
        <v>0.84810316488236415</v>
      </c>
      <c r="I57">
        <f t="shared" si="4"/>
        <v>1772.4256497674508</v>
      </c>
    </row>
    <row r="58" spans="1:9" x14ac:dyDescent="0.3">
      <c r="A58">
        <v>56</v>
      </c>
      <c r="B58">
        <v>3.0000000000000001E-3</v>
      </c>
      <c r="C58">
        <f t="shared" si="5"/>
        <v>9138.6506863134891</v>
      </c>
      <c r="D58">
        <f t="shared" si="0"/>
        <v>2141.7646972345146</v>
      </c>
      <c r="E58">
        <f t="shared" si="1"/>
        <v>142.78431314896764</v>
      </c>
      <c r="F58">
        <v>0</v>
      </c>
      <c r="G58">
        <f t="shared" si="2"/>
        <v>1998.980384085547</v>
      </c>
      <c r="H58">
        <f t="shared" si="3"/>
        <v>0.84556646548590664</v>
      </c>
      <c r="I58">
        <f t="shared" si="4"/>
        <v>1690.270777946876</v>
      </c>
    </row>
    <row r="59" spans="1:9" x14ac:dyDescent="0.3">
      <c r="A59">
        <v>57</v>
      </c>
      <c r="B59">
        <v>3.0000000000000001E-3</v>
      </c>
      <c r="C59">
        <f t="shared" si="5"/>
        <v>8485.889923005383</v>
      </c>
      <c r="D59">
        <f t="shared" si="0"/>
        <v>2048.6178183513989</v>
      </c>
      <c r="E59">
        <f t="shared" si="1"/>
        <v>136.57452122342659</v>
      </c>
      <c r="F59">
        <v>0</v>
      </c>
      <c r="G59">
        <f t="shared" si="2"/>
        <v>1912.0432971279724</v>
      </c>
      <c r="H59">
        <f t="shared" si="3"/>
        <v>0.84303735342562969</v>
      </c>
      <c r="I59">
        <f t="shared" si="4"/>
        <v>1611.9239208459808</v>
      </c>
    </row>
    <row r="60" spans="1:9" x14ac:dyDescent="0.3">
      <c r="A60">
        <v>58</v>
      </c>
      <c r="B60">
        <v>3.0000000000000001E-3</v>
      </c>
      <c r="C60">
        <f t="shared" si="5"/>
        <v>7879.754928504999</v>
      </c>
      <c r="D60">
        <f t="shared" si="0"/>
        <v>1959.5219638673991</v>
      </c>
      <c r="E60">
        <f t="shared" si="1"/>
        <v>130.63479759115995</v>
      </c>
      <c r="F60">
        <v>0</v>
      </c>
      <c r="G60">
        <f t="shared" si="2"/>
        <v>1828.8871662762392</v>
      </c>
      <c r="H60">
        <f t="shared" si="3"/>
        <v>0.84051580600760711</v>
      </c>
      <c r="I60">
        <f t="shared" si="4"/>
        <v>1537.2085706596417</v>
      </c>
    </row>
    <row r="61" spans="1:9" x14ac:dyDescent="0.3">
      <c r="A61">
        <v>59</v>
      </c>
      <c r="B61">
        <v>3.0000000000000001E-3</v>
      </c>
      <c r="C61">
        <f t="shared" si="5"/>
        <v>7316.9152907546422</v>
      </c>
      <c r="D61">
        <f t="shared" si="0"/>
        <v>1874.3009518333342</v>
      </c>
      <c r="E61">
        <f t="shared" si="1"/>
        <v>124.95339678888895</v>
      </c>
      <c r="F61">
        <v>0</v>
      </c>
      <c r="G61">
        <f t="shared" si="2"/>
        <v>1749.3475550444452</v>
      </c>
      <c r="H61">
        <f t="shared" si="3"/>
        <v>0.83800180060578966</v>
      </c>
      <c r="I61">
        <f t="shared" si="4"/>
        <v>1465.956401012581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098D-58E8-45BF-B822-17828D1DCEC7}">
  <dimension ref="A1:L61"/>
  <sheetViews>
    <sheetView topLeftCell="I25" workbookViewId="0">
      <selection activeCell="J2" sqref="J2"/>
    </sheetView>
  </sheetViews>
  <sheetFormatPr defaultRowHeight="14.4" x14ac:dyDescent="0.3"/>
  <cols>
    <col min="1" max="1" width="4.88671875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0</v>
      </c>
    </row>
    <row r="2" spans="1:12" x14ac:dyDescent="0.3">
      <c r="A2">
        <v>0</v>
      </c>
      <c r="B2">
        <v>3.0000000000000001E-3</v>
      </c>
      <c r="C2">
        <f>L10</f>
        <v>1020</v>
      </c>
      <c r="D2">
        <f>$L$2*(C2^0.6)</f>
        <v>574.64894338537442</v>
      </c>
      <c r="E2">
        <f>$L$9*D2</f>
        <v>38.309929559024958</v>
      </c>
      <c r="F2">
        <v>0</v>
      </c>
      <c r="G2">
        <f>D2 - F2 - E2</f>
        <v>536.33901382634951</v>
      </c>
      <c r="H2">
        <f>1/(1+B2)^A2</f>
        <v>1</v>
      </c>
      <c r="I2">
        <f>G2*H2</f>
        <v>536.33901382634951</v>
      </c>
      <c r="J2">
        <f>SUM(I2:I61)</f>
        <v>10777.401604207836</v>
      </c>
      <c r="K2" t="s">
        <v>1</v>
      </c>
      <c r="L2">
        <v>9</v>
      </c>
    </row>
    <row r="3" spans="1:12" x14ac:dyDescent="0.3">
      <c r="A3">
        <v>1</v>
      </c>
      <c r="B3">
        <v>3.0000000000000001E-3</v>
      </c>
      <c r="C3">
        <f>(1-$L$8)*C2+F2</f>
        <v>947.14285714285722</v>
      </c>
      <c r="D3">
        <f t="shared" ref="D3:D61" si="0">$L$2*(C3^0.6)</f>
        <v>549.65704973854076</v>
      </c>
      <c r="E3">
        <f t="shared" ref="E3:E61" si="1">$L$9*D3</f>
        <v>36.643803315902716</v>
      </c>
      <c r="F3">
        <v>0</v>
      </c>
      <c r="G3">
        <f t="shared" ref="G3:G61" si="2">D3 - F3 - E3</f>
        <v>513.01324642263808</v>
      </c>
      <c r="H3">
        <f t="shared" ref="H3:H61" si="3">1/(1+B3)^A3</f>
        <v>0.99700897308075787</v>
      </c>
      <c r="I3">
        <f t="shared" ref="I3:I61" si="4">G3*H3</f>
        <v>511.47880999266016</v>
      </c>
      <c r="K3" t="s">
        <v>2</v>
      </c>
      <c r="L3">
        <v>10</v>
      </c>
    </row>
    <row r="4" spans="1:12" x14ac:dyDescent="0.3">
      <c r="A4">
        <v>2</v>
      </c>
      <c r="B4">
        <v>3.0000000000000001E-3</v>
      </c>
      <c r="C4">
        <f t="shared" ref="C4:C61" si="5">(1-$L$8)*C3+F3</f>
        <v>879.48979591836746</v>
      </c>
      <c r="D4">
        <f t="shared" si="0"/>
        <v>525.75207142539807</v>
      </c>
      <c r="E4">
        <f t="shared" si="1"/>
        <v>35.05013809502654</v>
      </c>
      <c r="F4">
        <v>0</v>
      </c>
      <c r="G4">
        <f t="shared" si="2"/>
        <v>490.7019333303715</v>
      </c>
      <c r="H4">
        <f t="shared" si="3"/>
        <v>0.99402689240354736</v>
      </c>
      <c r="I4">
        <f t="shared" si="4"/>
        <v>487.77091788480186</v>
      </c>
      <c r="K4" t="s">
        <v>3</v>
      </c>
      <c r="L4">
        <v>20</v>
      </c>
    </row>
    <row r="5" spans="1:12" x14ac:dyDescent="0.3">
      <c r="A5">
        <v>3</v>
      </c>
      <c r="B5">
        <v>3.0000000000000001E-3</v>
      </c>
      <c r="C5">
        <f t="shared" si="5"/>
        <v>816.66909620991271</v>
      </c>
      <c r="D5">
        <f t="shared" si="0"/>
        <v>502.88673772051334</v>
      </c>
      <c r="E5">
        <f t="shared" si="1"/>
        <v>33.525782514700886</v>
      </c>
      <c r="F5">
        <v>0</v>
      </c>
      <c r="G5">
        <f t="shared" si="2"/>
        <v>469.36095520581245</v>
      </c>
      <c r="H5">
        <f t="shared" si="3"/>
        <v>0.99105373120991769</v>
      </c>
      <c r="I5">
        <f t="shared" si="4"/>
        <v>465.16192594097146</v>
      </c>
      <c r="K5" t="s">
        <v>4</v>
      </c>
      <c r="L5">
        <v>9</v>
      </c>
    </row>
    <row r="6" spans="1:12" x14ac:dyDescent="0.3">
      <c r="A6">
        <v>4</v>
      </c>
      <c r="B6">
        <v>3.0000000000000001E-3</v>
      </c>
      <c r="C6">
        <f t="shared" si="5"/>
        <v>758.33558933777613</v>
      </c>
      <c r="D6">
        <f t="shared" si="0"/>
        <v>481.0158337361209</v>
      </c>
      <c r="E6">
        <f t="shared" si="1"/>
        <v>32.067722249074727</v>
      </c>
      <c r="F6">
        <v>0</v>
      </c>
      <c r="G6">
        <f t="shared" si="2"/>
        <v>448.94811148704616</v>
      </c>
      <c r="H6">
        <f t="shared" si="3"/>
        <v>0.98808946282145349</v>
      </c>
      <c r="I6">
        <f t="shared" si="4"/>
        <v>443.60089831394146</v>
      </c>
      <c r="K6" t="s">
        <v>5</v>
      </c>
      <c r="L6">
        <v>10</v>
      </c>
    </row>
    <row r="7" spans="1:12" x14ac:dyDescent="0.3">
      <c r="A7">
        <v>5</v>
      </c>
      <c r="B7">
        <v>3.0000000000000001E-3</v>
      </c>
      <c r="C7">
        <f t="shared" si="5"/>
        <v>704.16876152793498</v>
      </c>
      <c r="D7">
        <f t="shared" si="0"/>
        <v>460.09611101226943</v>
      </c>
      <c r="E7">
        <f t="shared" si="1"/>
        <v>30.673074067484627</v>
      </c>
      <c r="F7">
        <v>0</v>
      </c>
      <c r="G7">
        <f t="shared" si="2"/>
        <v>429.42303694478483</v>
      </c>
      <c r="H7">
        <f t="shared" si="3"/>
        <v>0.9851340606395349</v>
      </c>
      <c r="I7">
        <f t="shared" si="4"/>
        <v>423.03926011757687</v>
      </c>
      <c r="K7" t="s">
        <v>7</v>
      </c>
      <c r="L7" t="s">
        <v>6</v>
      </c>
    </row>
    <row r="8" spans="1:12" x14ac:dyDescent="0.3">
      <c r="A8">
        <v>6</v>
      </c>
      <c r="B8">
        <v>3.0000000000000001E-3</v>
      </c>
      <c r="C8">
        <f t="shared" si="5"/>
        <v>653.87099284736826</v>
      </c>
      <c r="D8">
        <f t="shared" si="0"/>
        <v>440.0862019954717</v>
      </c>
      <c r="E8">
        <f t="shared" si="1"/>
        <v>29.339080133031445</v>
      </c>
      <c r="F8">
        <v>0</v>
      </c>
      <c r="G8">
        <f t="shared" si="2"/>
        <v>410.74712186244028</v>
      </c>
      <c r="H8">
        <f t="shared" si="3"/>
        <v>0.98218749814509987</v>
      </c>
      <c r="I8">
        <f t="shared" si="4"/>
        <v>403.43068799237068</v>
      </c>
      <c r="K8" s="1" t="s">
        <v>8</v>
      </c>
      <c r="L8">
        <f>1/(5+L5)</f>
        <v>7.1428571428571425E-2</v>
      </c>
    </row>
    <row r="9" spans="1:12" x14ac:dyDescent="0.3">
      <c r="A9">
        <v>7</v>
      </c>
      <c r="B9">
        <v>3.0000000000000001E-3</v>
      </c>
      <c r="C9">
        <f t="shared" si="5"/>
        <v>607.16592192969915</v>
      </c>
      <c r="D9">
        <f t="shared" si="0"/>
        <v>420.94653823673445</v>
      </c>
      <c r="E9">
        <f t="shared" si="1"/>
        <v>28.06310254911563</v>
      </c>
      <c r="F9">
        <v>0</v>
      </c>
      <c r="G9">
        <f t="shared" si="2"/>
        <v>392.88343568761883</v>
      </c>
      <c r="H9">
        <f t="shared" si="3"/>
        <v>0.97924974889840477</v>
      </c>
      <c r="I9">
        <f t="shared" si="4"/>
        <v>384.73100574344329</v>
      </c>
      <c r="K9" t="s">
        <v>9</v>
      </c>
      <c r="L9">
        <f>1/(5+L6)</f>
        <v>6.6666666666666666E-2</v>
      </c>
    </row>
    <row r="10" spans="1:12" x14ac:dyDescent="0.3">
      <c r="A10">
        <v>8</v>
      </c>
      <c r="B10">
        <v>3.0000000000000001E-3</v>
      </c>
      <c r="C10">
        <f t="shared" si="5"/>
        <v>563.79692750614925</v>
      </c>
      <c r="D10">
        <f t="shared" si="0"/>
        <v>402.63927214721866</v>
      </c>
      <c r="E10">
        <f t="shared" si="1"/>
        <v>26.842618143147909</v>
      </c>
      <c r="F10">
        <v>0</v>
      </c>
      <c r="G10">
        <f t="shared" si="2"/>
        <v>375.79665400407077</v>
      </c>
      <c r="H10">
        <f t="shared" si="3"/>
        <v>0.97632078653878851</v>
      </c>
      <c r="I10">
        <f t="shared" si="4"/>
        <v>366.89808481589932</v>
      </c>
      <c r="K10" t="s">
        <v>10</v>
      </c>
      <c r="L10">
        <f>100*L2+10*L3+L4</f>
        <v>1020</v>
      </c>
    </row>
    <row r="11" spans="1:12" x14ac:dyDescent="0.3">
      <c r="A11">
        <v>9</v>
      </c>
      <c r="B11">
        <v>3.0000000000000001E-3</v>
      </c>
      <c r="C11">
        <f t="shared" si="5"/>
        <v>523.52571839856716</v>
      </c>
      <c r="D11">
        <f t="shared" si="0"/>
        <v>385.12820215679949</v>
      </c>
      <c r="E11">
        <f t="shared" si="1"/>
        <v>25.675213477119964</v>
      </c>
      <c r="F11">
        <v>0</v>
      </c>
      <c r="G11">
        <f t="shared" si="2"/>
        <v>359.45298867967955</v>
      </c>
      <c r="H11">
        <f t="shared" si="3"/>
        <v>0.97340058478443536</v>
      </c>
      <c r="I11">
        <f t="shared" si="4"/>
        <v>349.89174938331308</v>
      </c>
    </row>
    <row r="12" spans="1:12" x14ac:dyDescent="0.3">
      <c r="A12">
        <v>10</v>
      </c>
      <c r="B12">
        <v>3.0000000000000001E-3</v>
      </c>
      <c r="C12">
        <f t="shared" si="5"/>
        <v>486.13102422724097</v>
      </c>
      <c r="D12">
        <f t="shared" si="0"/>
        <v>368.37870112753512</v>
      </c>
      <c r="E12">
        <f t="shared" si="1"/>
        <v>24.558580075169008</v>
      </c>
      <c r="F12">
        <v>0</v>
      </c>
      <c r="G12">
        <f t="shared" si="2"/>
        <v>343.82012105236612</v>
      </c>
      <c r="H12">
        <f t="shared" si="3"/>
        <v>0.97048911743213906</v>
      </c>
      <c r="I12">
        <f t="shared" si="4"/>
        <v>333.67368583552201</v>
      </c>
    </row>
    <row r="13" spans="1:12" x14ac:dyDescent="0.3">
      <c r="A13">
        <v>11</v>
      </c>
      <c r="B13">
        <v>3.0000000000000001E-3</v>
      </c>
      <c r="C13">
        <f t="shared" si="5"/>
        <v>451.40737963958094</v>
      </c>
      <c r="D13">
        <f t="shared" si="0"/>
        <v>352.35764788048516</v>
      </c>
      <c r="E13">
        <f t="shared" si="1"/>
        <v>23.49050985869901</v>
      </c>
      <c r="F13">
        <v>0</v>
      </c>
      <c r="G13">
        <f t="shared" si="2"/>
        <v>328.86713802178616</v>
      </c>
      <c r="H13">
        <f t="shared" si="3"/>
        <v>0.96758635835706785</v>
      </c>
      <c r="I13">
        <f t="shared" si="4"/>
        <v>318.20735646181129</v>
      </c>
    </row>
    <row r="14" spans="1:12" x14ac:dyDescent="0.3">
      <c r="A14">
        <v>12</v>
      </c>
      <c r="B14">
        <v>3.0000000000000001E-3</v>
      </c>
      <c r="C14">
        <f t="shared" si="5"/>
        <v>419.16399537961087</v>
      </c>
      <c r="D14">
        <f t="shared" si="0"/>
        <v>337.03336170047589</v>
      </c>
      <c r="E14">
        <f t="shared" si="1"/>
        <v>22.468890780031725</v>
      </c>
      <c r="F14">
        <v>0</v>
      </c>
      <c r="G14">
        <f t="shared" si="2"/>
        <v>314.56447092044419</v>
      </c>
      <c r="H14">
        <f t="shared" si="3"/>
        <v>0.96469228151253039</v>
      </c>
      <c r="I14">
        <f t="shared" si="4"/>
        <v>303.45791713502535</v>
      </c>
    </row>
    <row r="15" spans="1:12" x14ac:dyDescent="0.3">
      <c r="A15">
        <v>13</v>
      </c>
      <c r="B15">
        <v>3.0000000000000001E-3</v>
      </c>
      <c r="C15">
        <f t="shared" si="5"/>
        <v>389.22370999535298</v>
      </c>
      <c r="D15">
        <f t="shared" si="0"/>
        <v>322.37553968930013</v>
      </c>
      <c r="E15">
        <f t="shared" si="1"/>
        <v>21.491702645953342</v>
      </c>
      <c r="F15">
        <v>0</v>
      </c>
      <c r="G15">
        <f t="shared" si="2"/>
        <v>300.88383704334677</v>
      </c>
      <c r="H15">
        <f t="shared" si="3"/>
        <v>0.96180686092974133</v>
      </c>
      <c r="I15">
        <f t="shared" si="4"/>
        <v>289.39213881115717</v>
      </c>
    </row>
    <row r="16" spans="1:12" x14ac:dyDescent="0.3">
      <c r="A16">
        <v>14</v>
      </c>
      <c r="B16">
        <v>3.0000000000000001E-3</v>
      </c>
      <c r="C16">
        <f t="shared" si="5"/>
        <v>361.42201642425636</v>
      </c>
      <c r="D16">
        <f t="shared" si="0"/>
        <v>308.35519684347258</v>
      </c>
      <c r="E16">
        <f t="shared" si="1"/>
        <v>20.557013122898173</v>
      </c>
      <c r="F16">
        <v>0</v>
      </c>
      <c r="G16">
        <f t="shared" si="2"/>
        <v>287.7981837205744</v>
      </c>
      <c r="H16">
        <f t="shared" si="3"/>
        <v>0.95893007071758884</v>
      </c>
      <c r="I16">
        <f t="shared" si="4"/>
        <v>275.97833266756402</v>
      </c>
    </row>
    <row r="17" spans="1:9" x14ac:dyDescent="0.3">
      <c r="A17">
        <v>15</v>
      </c>
      <c r="B17">
        <v>3.0000000000000001E-3</v>
      </c>
      <c r="C17">
        <f t="shared" si="5"/>
        <v>335.60615810823805</v>
      </c>
      <c r="D17">
        <f t="shared" si="0"/>
        <v>294.94460873804474</v>
      </c>
      <c r="E17">
        <f t="shared" si="1"/>
        <v>19.662973915869649</v>
      </c>
      <c r="F17">
        <v>0</v>
      </c>
      <c r="G17">
        <f t="shared" si="2"/>
        <v>275.28163482217508</v>
      </c>
      <c r="H17">
        <f t="shared" si="3"/>
        <v>0.95606188506240175</v>
      </c>
      <c r="I17">
        <f t="shared" si="4"/>
        <v>263.18627871114842</v>
      </c>
    </row>
    <row r="18" spans="1:9" x14ac:dyDescent="0.3">
      <c r="A18">
        <v>16</v>
      </c>
      <c r="B18">
        <v>3.0000000000000001E-3</v>
      </c>
      <c r="C18">
        <f t="shared" si="5"/>
        <v>311.63428967193533</v>
      </c>
      <c r="D18">
        <f t="shared" si="0"/>
        <v>282.11725670314365</v>
      </c>
      <c r="E18">
        <f t="shared" si="1"/>
        <v>18.80781711354291</v>
      </c>
      <c r="F18">
        <v>0</v>
      </c>
      <c r="G18">
        <f t="shared" si="2"/>
        <v>263.30943958960074</v>
      </c>
      <c r="H18">
        <f t="shared" si="3"/>
        <v>0.95320227822771864</v>
      </c>
      <c r="I18">
        <f t="shared" si="4"/>
        <v>250.98715769567127</v>
      </c>
    </row>
    <row r="19" spans="1:9" x14ac:dyDescent="0.3">
      <c r="A19">
        <v>17</v>
      </c>
      <c r="B19">
        <v>3.0000000000000001E-3</v>
      </c>
      <c r="C19">
        <f t="shared" si="5"/>
        <v>289.37469755251141</v>
      </c>
      <c r="D19">
        <f t="shared" si="0"/>
        <v>269.84777538481984</v>
      </c>
      <c r="E19">
        <f t="shared" si="1"/>
        <v>17.989851692321324</v>
      </c>
      <c r="F19">
        <v>0</v>
      </c>
      <c r="G19">
        <f t="shared" si="2"/>
        <v>251.8579236924985</v>
      </c>
      <c r="H19">
        <f t="shared" si="3"/>
        <v>0.95035122455405663</v>
      </c>
      <c r="I19">
        <f t="shared" si="4"/>
        <v>239.35348619480811</v>
      </c>
    </row>
    <row r="20" spans="1:9" x14ac:dyDescent="0.3">
      <c r="A20">
        <v>18</v>
      </c>
      <c r="B20">
        <v>3.0000000000000001E-3</v>
      </c>
      <c r="C20">
        <f t="shared" si="5"/>
        <v>268.70507629876062</v>
      </c>
      <c r="D20">
        <f t="shared" si="0"/>
        <v>258.11190258651328</v>
      </c>
      <c r="E20">
        <f t="shared" si="1"/>
        <v>17.207460172434217</v>
      </c>
      <c r="F20">
        <v>0</v>
      </c>
      <c r="G20">
        <f t="shared" si="2"/>
        <v>240.90444241407906</v>
      </c>
      <c r="H20">
        <f t="shared" si="3"/>
        <v>0.94750869845868069</v>
      </c>
      <c r="I20">
        <f t="shared" si="4"/>
        <v>228.25905468467823</v>
      </c>
    </row>
    <row r="21" spans="1:9" x14ac:dyDescent="0.3">
      <c r="A21">
        <v>19</v>
      </c>
      <c r="B21">
        <v>3.0000000000000001E-3</v>
      </c>
      <c r="C21">
        <f t="shared" si="5"/>
        <v>249.51185656313487</v>
      </c>
      <c r="D21">
        <f t="shared" si="0"/>
        <v>246.88643129194932</v>
      </c>
      <c r="E21">
        <f t="shared" si="1"/>
        <v>16.459095419463289</v>
      </c>
      <c r="F21">
        <v>0</v>
      </c>
      <c r="G21">
        <f t="shared" si="2"/>
        <v>230.42733587248603</v>
      </c>
      <c r="H21">
        <f t="shared" si="3"/>
        <v>0.94467467443537456</v>
      </c>
      <c r="I21">
        <f t="shared" si="4"/>
        <v>217.67886849635144</v>
      </c>
    </row>
    <row r="22" spans="1:9" x14ac:dyDescent="0.3">
      <c r="A22">
        <v>20</v>
      </c>
      <c r="B22">
        <v>3.0000000000000001E-3</v>
      </c>
      <c r="C22">
        <f t="shared" si="5"/>
        <v>231.68958109433953</v>
      </c>
      <c r="D22">
        <f t="shared" si="0"/>
        <v>236.14916377459349</v>
      </c>
      <c r="E22">
        <f t="shared" si="1"/>
        <v>15.743277584972899</v>
      </c>
      <c r="F22">
        <v>0</v>
      </c>
      <c r="G22">
        <f t="shared" si="2"/>
        <v>220.40588618962059</v>
      </c>
      <c r="H22">
        <f t="shared" si="3"/>
        <v>0.94184912705421209</v>
      </c>
      <c r="I22">
        <f t="shared" si="4"/>
        <v>207.58909150530417</v>
      </c>
    </row>
    <row r="23" spans="1:9" x14ac:dyDescent="0.3">
      <c r="A23">
        <v>21</v>
      </c>
      <c r="B23">
        <v>3.0000000000000001E-3</v>
      </c>
      <c r="C23">
        <f t="shared" si="5"/>
        <v>215.14032530188672</v>
      </c>
      <c r="D23">
        <f t="shared" si="0"/>
        <v>225.878867702918</v>
      </c>
      <c r="E23">
        <f t="shared" si="1"/>
        <v>15.058591180194533</v>
      </c>
      <c r="F23">
        <v>0</v>
      </c>
      <c r="G23">
        <f t="shared" si="2"/>
        <v>210.82027652272347</v>
      </c>
      <c r="H23">
        <f t="shared" si="3"/>
        <v>0.93903203096132815</v>
      </c>
      <c r="I23">
        <f t="shared" si="4"/>
        <v>197.96699243096182</v>
      </c>
    </row>
    <row r="24" spans="1:9" x14ac:dyDescent="0.3">
      <c r="A24">
        <v>22</v>
      </c>
      <c r="B24">
        <v>3.0000000000000001E-3</v>
      </c>
      <c r="C24">
        <f t="shared" si="5"/>
        <v>199.77315920889481</v>
      </c>
      <c r="D24">
        <f t="shared" si="0"/>
        <v>216.05523415468267</v>
      </c>
      <c r="E24">
        <f t="shared" si="1"/>
        <v>14.403682276978843</v>
      </c>
      <c r="F24">
        <v>0</v>
      </c>
      <c r="G24">
        <f t="shared" si="2"/>
        <v>201.65155187770381</v>
      </c>
      <c r="H24">
        <f t="shared" si="3"/>
        <v>0.9362233608786924</v>
      </c>
      <c r="I24">
        <f t="shared" si="4"/>
        <v>188.79089362534785</v>
      </c>
    </row>
    <row r="25" spans="1:9" x14ac:dyDescent="0.3">
      <c r="A25">
        <v>23</v>
      </c>
      <c r="B25">
        <v>3.0000000000000001E-3</v>
      </c>
      <c r="C25">
        <f t="shared" si="5"/>
        <v>185.50364783683091</v>
      </c>
      <c r="D25">
        <f t="shared" si="0"/>
        <v>206.65883745720467</v>
      </c>
      <c r="E25">
        <f t="shared" si="1"/>
        <v>13.777255830480311</v>
      </c>
      <c r="F25">
        <v>0</v>
      </c>
      <c r="G25">
        <f t="shared" si="2"/>
        <v>192.88158162672437</v>
      </c>
      <c r="H25">
        <f t="shared" si="3"/>
        <v>0.93342309160388093</v>
      </c>
      <c r="I25">
        <f t="shared" si="4"/>
        <v>180.04012223546337</v>
      </c>
    </row>
    <row r="26" spans="1:9" x14ac:dyDescent="0.3">
      <c r="A26">
        <v>24</v>
      </c>
      <c r="B26">
        <v>3.0000000000000001E-3</v>
      </c>
      <c r="C26">
        <f t="shared" si="5"/>
        <v>172.25338727705727</v>
      </c>
      <c r="D26">
        <f t="shared" si="0"/>
        <v>197.67109677420294</v>
      </c>
      <c r="E26">
        <f t="shared" si="1"/>
        <v>13.178073118280196</v>
      </c>
      <c r="F26">
        <v>0</v>
      </c>
      <c r="G26">
        <f t="shared" si="2"/>
        <v>184.49302365592274</v>
      </c>
      <c r="H26">
        <f t="shared" si="3"/>
        <v>0.93063119800985139</v>
      </c>
      <c r="I26">
        <f t="shared" si="4"/>
        <v>171.69496362937124</v>
      </c>
    </row>
    <row r="27" spans="1:9" x14ac:dyDescent="0.3">
      <c r="A27">
        <v>25</v>
      </c>
      <c r="B27">
        <v>3.0000000000000001E-3</v>
      </c>
      <c r="C27">
        <f t="shared" si="5"/>
        <v>159.94957390012462</v>
      </c>
      <c r="D27">
        <f t="shared" si="0"/>
        <v>189.07423936325876</v>
      </c>
      <c r="E27">
        <f t="shared" si="1"/>
        <v>12.604949290883917</v>
      </c>
      <c r="F27">
        <v>0</v>
      </c>
      <c r="G27">
        <f t="shared" si="2"/>
        <v>176.46929007237483</v>
      </c>
      <c r="H27">
        <f t="shared" si="3"/>
        <v>0.92784765504471733</v>
      </c>
      <c r="I27">
        <f t="shared" si="4"/>
        <v>163.736616981059</v>
      </c>
    </row>
    <row r="28" spans="1:9" x14ac:dyDescent="0.3">
      <c r="A28">
        <v>26</v>
      </c>
      <c r="B28">
        <v>3.0000000000000001E-3</v>
      </c>
      <c r="C28">
        <f t="shared" si="5"/>
        <v>148.52460433583002</v>
      </c>
      <c r="D28">
        <f t="shared" si="0"/>
        <v>180.85126543123576</v>
      </c>
      <c r="E28">
        <f t="shared" si="1"/>
        <v>12.056751028749051</v>
      </c>
      <c r="F28">
        <v>0</v>
      </c>
      <c r="G28">
        <f t="shared" si="2"/>
        <v>168.7945144024867</v>
      </c>
      <c r="H28">
        <f t="shared" si="3"/>
        <v>0.92507243773152303</v>
      </c>
      <c r="I28">
        <f t="shared" si="4"/>
        <v>156.14715291401706</v>
      </c>
    </row>
    <row r="29" spans="1:9" x14ac:dyDescent="0.3">
      <c r="A29">
        <v>27</v>
      </c>
      <c r="B29">
        <v>3.0000000000000001E-3</v>
      </c>
      <c r="C29">
        <f t="shared" si="5"/>
        <v>137.91570402612788</v>
      </c>
      <c r="D29">
        <f t="shared" si="0"/>
        <v>172.98591451816245</v>
      </c>
      <c r="E29">
        <f t="shared" si="1"/>
        <v>11.532394301210829</v>
      </c>
      <c r="F29">
        <v>0</v>
      </c>
      <c r="G29">
        <f t="shared" si="2"/>
        <v>161.45352021695163</v>
      </c>
      <c r="H29">
        <f t="shared" si="3"/>
        <v>0.92230552116801889</v>
      </c>
      <c r="I29">
        <f t="shared" si="4"/>
        <v>148.90947310810685</v>
      </c>
    </row>
    <row r="30" spans="1:9" x14ac:dyDescent="0.3">
      <c r="A30">
        <v>28</v>
      </c>
      <c r="B30">
        <v>3.0000000000000001E-3</v>
      </c>
      <c r="C30">
        <f t="shared" si="5"/>
        <v>128.06458230997589</v>
      </c>
      <c r="D30">
        <f t="shared" si="0"/>
        <v>165.4626333431045</v>
      </c>
      <c r="E30">
        <f t="shared" si="1"/>
        <v>11.030842222873634</v>
      </c>
      <c r="F30">
        <v>0</v>
      </c>
      <c r="G30">
        <f t="shared" si="2"/>
        <v>154.43179112023086</v>
      </c>
      <c r="H30">
        <f t="shared" si="3"/>
        <v>0.91954688052643974</v>
      </c>
      <c r="I30">
        <f t="shared" si="4"/>
        <v>142.00727177871903</v>
      </c>
    </row>
    <row r="31" spans="1:9" x14ac:dyDescent="0.3">
      <c r="A31">
        <v>29</v>
      </c>
      <c r="B31">
        <v>3.0000000000000001E-3</v>
      </c>
      <c r="C31">
        <f t="shared" si="5"/>
        <v>118.91711214497762</v>
      </c>
      <c r="D31">
        <f t="shared" si="0"/>
        <v>158.26654504844163</v>
      </c>
      <c r="E31">
        <f t="shared" si="1"/>
        <v>10.551103003229441</v>
      </c>
      <c r="F31">
        <v>0</v>
      </c>
      <c r="G31">
        <f t="shared" si="2"/>
        <v>147.7154420452122</v>
      </c>
      <c r="H31">
        <f t="shared" si="3"/>
        <v>0.91679649105328009</v>
      </c>
      <c r="I31">
        <f t="shared" si="4"/>
        <v>135.42499894143469</v>
      </c>
    </row>
    <row r="32" spans="1:9" x14ac:dyDescent="0.3">
      <c r="A32">
        <v>30</v>
      </c>
      <c r="B32">
        <v>3.0000000000000001E-3</v>
      </c>
      <c r="C32">
        <f t="shared" si="5"/>
        <v>110.42303270605065</v>
      </c>
      <c r="D32">
        <f t="shared" si="0"/>
        <v>151.38341978173452</v>
      </c>
      <c r="E32">
        <f t="shared" si="1"/>
        <v>10.092227985448968</v>
      </c>
      <c r="F32">
        <v>0</v>
      </c>
      <c r="G32">
        <f t="shared" si="2"/>
        <v>141.29119179628555</v>
      </c>
      <c r="H32">
        <f t="shared" si="3"/>
        <v>0.91405432806907294</v>
      </c>
      <c r="I32">
        <f t="shared" si="4"/>
        <v>129.14782537943231</v>
      </c>
    </row>
    <row r="33" spans="1:9" x14ac:dyDescent="0.3">
      <c r="A33">
        <v>31</v>
      </c>
      <c r="B33">
        <v>3.0000000000000001E-3</v>
      </c>
      <c r="C33">
        <f t="shared" si="5"/>
        <v>102.53567322704703</v>
      </c>
      <c r="D33">
        <f t="shared" si="0"/>
        <v>144.79964655700621</v>
      </c>
      <c r="E33">
        <f t="shared" si="1"/>
        <v>9.6533097704670805</v>
      </c>
      <c r="F33">
        <v>0</v>
      </c>
      <c r="G33">
        <f t="shared" si="2"/>
        <v>135.14633678653914</v>
      </c>
      <c r="H33">
        <f t="shared" si="3"/>
        <v>0.91132036696816865</v>
      </c>
      <c r="I33">
        <f t="shared" si="4"/>
        <v>123.16160923471256</v>
      </c>
    </row>
    <row r="34" spans="1:9" x14ac:dyDescent="0.3">
      <c r="A34">
        <v>32</v>
      </c>
      <c r="B34">
        <v>3.0000000000000001E-3</v>
      </c>
      <c r="C34">
        <f t="shared" si="5"/>
        <v>95.21169656797224</v>
      </c>
      <c r="D34">
        <f t="shared" si="0"/>
        <v>138.502206339797</v>
      </c>
      <c r="E34">
        <f t="shared" si="1"/>
        <v>9.233480422653134</v>
      </c>
      <c r="F34">
        <v>0</v>
      </c>
      <c r="G34">
        <f t="shared" si="2"/>
        <v>129.26872591714385</v>
      </c>
      <c r="H34">
        <f t="shared" si="3"/>
        <v>0.90859458321851316</v>
      </c>
      <c r="I34">
        <f t="shared" si="4"/>
        <v>117.45286414787553</v>
      </c>
    </row>
    <row r="35" spans="1:9" x14ac:dyDescent="0.3">
      <c r="A35">
        <v>33</v>
      </c>
      <c r="B35">
        <v>3.0000000000000001E-3</v>
      </c>
      <c r="C35">
        <f t="shared" si="5"/>
        <v>88.410861098831361</v>
      </c>
      <c r="D35">
        <f t="shared" si="0"/>
        <v>132.4786463027699</v>
      </c>
      <c r="E35">
        <f t="shared" si="1"/>
        <v>8.8319097535179942</v>
      </c>
      <c r="F35">
        <v>0</v>
      </c>
      <c r="G35">
        <f t="shared" si="2"/>
        <v>123.64673654925191</v>
      </c>
      <c r="H35">
        <f t="shared" si="3"/>
        <v>0.90587695236142907</v>
      </c>
      <c r="I35">
        <f t="shared" si="4"/>
        <v>112.00872887467284</v>
      </c>
    </row>
    <row r="36" spans="1:9" x14ac:dyDescent="0.3">
      <c r="A36">
        <v>34</v>
      </c>
      <c r="B36">
        <v>3.0000000000000001E-3</v>
      </c>
      <c r="C36">
        <f t="shared" si="5"/>
        <v>82.095799591771978</v>
      </c>
      <c r="D36">
        <f t="shared" si="0"/>
        <v>126.71705520095713</v>
      </c>
      <c r="E36">
        <f t="shared" si="1"/>
        <v>8.4478036800638083</v>
      </c>
      <c r="F36">
        <v>0</v>
      </c>
      <c r="G36">
        <f t="shared" si="2"/>
        <v>118.26925152089332</v>
      </c>
      <c r="H36">
        <f t="shared" si="3"/>
        <v>0.90316745001139487</v>
      </c>
      <c r="I36">
        <f t="shared" si="4"/>
        <v>106.81693831088151</v>
      </c>
    </row>
    <row r="37" spans="1:9" x14ac:dyDescent="0.3">
      <c r="A37">
        <v>35</v>
      </c>
      <c r="B37">
        <v>3.0000000000000001E-3</v>
      </c>
      <c r="C37">
        <f t="shared" si="5"/>
        <v>76.231813906645414</v>
      </c>
      <c r="D37">
        <f t="shared" si="0"/>
        <v>121.20603981795584</v>
      </c>
      <c r="E37">
        <f t="shared" si="1"/>
        <v>8.0804026545303884</v>
      </c>
      <c r="F37">
        <v>0</v>
      </c>
      <c r="G37">
        <f t="shared" si="2"/>
        <v>113.12563716342545</v>
      </c>
      <c r="H37">
        <f t="shared" si="3"/>
        <v>0.90046605185582762</v>
      </c>
      <c r="I37">
        <f t="shared" si="4"/>
        <v>101.86579586022461</v>
      </c>
    </row>
    <row r="38" spans="1:9" x14ac:dyDescent="0.3">
      <c r="A38">
        <v>36</v>
      </c>
      <c r="B38">
        <v>5.0000000000000001E-3</v>
      </c>
      <c r="C38">
        <f t="shared" si="5"/>
        <v>70.786684341885035</v>
      </c>
      <c r="D38">
        <f t="shared" si="0"/>
        <v>115.9347024364951</v>
      </c>
      <c r="E38">
        <f t="shared" si="1"/>
        <v>7.7289801624330066</v>
      </c>
      <c r="F38">
        <v>0</v>
      </c>
      <c r="G38">
        <f t="shared" si="2"/>
        <v>108.2057222740621</v>
      </c>
      <c r="H38">
        <f t="shared" si="3"/>
        <v>0.83564491880367509</v>
      </c>
      <c r="I38">
        <f t="shared" si="4"/>
        <v>90.42156200380164</v>
      </c>
    </row>
    <row r="39" spans="1:9" x14ac:dyDescent="0.3">
      <c r="A39">
        <v>37</v>
      </c>
      <c r="B39">
        <v>5.0000000000000001E-3</v>
      </c>
      <c r="C39">
        <f t="shared" si="5"/>
        <v>65.730492603178959</v>
      </c>
      <c r="D39">
        <f t="shared" si="0"/>
        <v>110.89261928882436</v>
      </c>
      <c r="E39">
        <f t="shared" si="1"/>
        <v>7.3928412859216239</v>
      </c>
      <c r="F39">
        <v>0</v>
      </c>
      <c r="G39">
        <f t="shared" si="2"/>
        <v>103.49977800290274</v>
      </c>
      <c r="H39">
        <f t="shared" si="3"/>
        <v>0.83148748139669182</v>
      </c>
      <c r="I39">
        <f t="shared" si="4"/>
        <v>86.058769736750335</v>
      </c>
    </row>
    <row r="40" spans="1:9" x14ac:dyDescent="0.3">
      <c r="A40">
        <v>38</v>
      </c>
      <c r="B40">
        <v>5.0000000000000001E-3</v>
      </c>
      <c r="C40">
        <f t="shared" si="5"/>
        <v>61.035457417237609</v>
      </c>
      <c r="D40">
        <f t="shared" si="0"/>
        <v>106.0698199443096</v>
      </c>
      <c r="E40">
        <f t="shared" si="1"/>
        <v>7.0713213296206403</v>
      </c>
      <c r="F40">
        <v>0</v>
      </c>
      <c r="G40">
        <f t="shared" si="2"/>
        <v>98.998498614688955</v>
      </c>
      <c r="H40">
        <f t="shared" si="3"/>
        <v>0.8273507277579023</v>
      </c>
      <c r="I40">
        <f t="shared" si="4"/>
        <v>81.906479875802589</v>
      </c>
    </row>
    <row r="41" spans="1:9" x14ac:dyDescent="0.3">
      <c r="A41">
        <v>39</v>
      </c>
      <c r="B41">
        <v>5.0000000000000001E-3</v>
      </c>
      <c r="C41">
        <f t="shared" si="5"/>
        <v>56.675781887434923</v>
      </c>
      <c r="D41">
        <f t="shared" si="0"/>
        <v>101.45676759347774</v>
      </c>
      <c r="E41">
        <f t="shared" si="1"/>
        <v>6.7637845062318487</v>
      </c>
      <c r="F41">
        <v>0</v>
      </c>
      <c r="G41">
        <f t="shared" si="2"/>
        <v>94.692983087245892</v>
      </c>
      <c r="H41">
        <f t="shared" si="3"/>
        <v>0.82323455498298748</v>
      </c>
      <c r="I41">
        <f t="shared" si="4"/>
        <v>77.954535791840428</v>
      </c>
    </row>
    <row r="42" spans="1:9" x14ac:dyDescent="0.3">
      <c r="A42">
        <v>40</v>
      </c>
      <c r="B42">
        <v>5.0000000000000001E-3</v>
      </c>
      <c r="C42">
        <f t="shared" si="5"/>
        <v>52.627511752618148</v>
      </c>
      <c r="D42">
        <f t="shared" si="0"/>
        <v>97.044340189522188</v>
      </c>
      <c r="E42">
        <f t="shared" si="1"/>
        <v>6.4696226793014793</v>
      </c>
      <c r="F42">
        <v>0</v>
      </c>
      <c r="G42">
        <f t="shared" si="2"/>
        <v>90.574717510220708</v>
      </c>
      <c r="H42">
        <f t="shared" si="3"/>
        <v>0.81913886067958963</v>
      </c>
      <c r="I42">
        <f t="shared" si="4"/>
        <v>74.193270907697865</v>
      </c>
    </row>
    <row r="43" spans="1:9" x14ac:dyDescent="0.3">
      <c r="A43">
        <v>41</v>
      </c>
      <c r="B43">
        <v>5.0000000000000001E-3</v>
      </c>
      <c r="C43">
        <f t="shared" si="5"/>
        <v>48.868403770288282</v>
      </c>
      <c r="D43">
        <f t="shared" si="0"/>
        <v>92.823812409978061</v>
      </c>
      <c r="E43">
        <f t="shared" si="1"/>
        <v>6.1882541606652044</v>
      </c>
      <c r="F43">
        <v>0</v>
      </c>
      <c r="G43">
        <f t="shared" si="2"/>
        <v>86.635558249312851</v>
      </c>
      <c r="H43">
        <f t="shared" si="3"/>
        <v>0.81506354296476591</v>
      </c>
      <c r="I43">
        <f t="shared" si="4"/>
        <v>70.613485053415289</v>
      </c>
    </row>
    <row r="44" spans="1:9" x14ac:dyDescent="0.3">
      <c r="A44">
        <v>42</v>
      </c>
      <c r="B44">
        <v>5.0000000000000001E-3</v>
      </c>
      <c r="C44">
        <f t="shared" si="5"/>
        <v>45.377803500981976</v>
      </c>
      <c r="D44">
        <f t="shared" si="0"/>
        <v>88.786838402896208</v>
      </c>
      <c r="E44">
        <f t="shared" si="1"/>
        <v>5.9191225601930801</v>
      </c>
      <c r="F44">
        <v>0</v>
      </c>
      <c r="G44">
        <f t="shared" si="2"/>
        <v>82.867715842703134</v>
      </c>
      <c r="H44">
        <f t="shared" si="3"/>
        <v>0.81100850046245387</v>
      </c>
      <c r="I44">
        <f t="shared" si="4"/>
        <v>67.206421962339405</v>
      </c>
    </row>
    <row r="45" spans="1:9" x14ac:dyDescent="0.3">
      <c r="A45">
        <v>43</v>
      </c>
      <c r="B45">
        <v>5.0000000000000001E-3</v>
      </c>
      <c r="C45">
        <f t="shared" si="5"/>
        <v>42.136531822340409</v>
      </c>
      <c r="D45">
        <f t="shared" si="0"/>
        <v>84.925435283399509</v>
      </c>
      <c r="E45">
        <f t="shared" si="1"/>
        <v>5.6616956855599669</v>
      </c>
      <c r="F45">
        <v>0</v>
      </c>
      <c r="G45">
        <f t="shared" si="2"/>
        <v>79.263739597839546</v>
      </c>
      <c r="H45">
        <f t="shared" si="3"/>
        <v>0.8069736323009491</v>
      </c>
      <c r="I45">
        <f t="shared" si="4"/>
        <v>63.963747853025147</v>
      </c>
    </row>
    <row r="46" spans="1:9" x14ac:dyDescent="0.3">
      <c r="A46">
        <v>44</v>
      </c>
      <c r="B46">
        <v>5.0000000000000001E-3</v>
      </c>
      <c r="C46">
        <f t="shared" si="5"/>
        <v>39.126779549316097</v>
      </c>
      <c r="D46">
        <f t="shared" si="0"/>
        <v>81.231967347984877</v>
      </c>
      <c r="E46">
        <f t="shared" si="1"/>
        <v>5.4154644898656583</v>
      </c>
      <c r="F46">
        <v>0</v>
      </c>
      <c r="G46">
        <f t="shared" si="2"/>
        <v>75.816502858119222</v>
      </c>
      <c r="H46">
        <f t="shared" si="3"/>
        <v>0.80295883811039725</v>
      </c>
      <c r="I46">
        <f t="shared" si="4"/>
        <v>60.877531044549023</v>
      </c>
    </row>
    <row r="47" spans="1:9" x14ac:dyDescent="0.3">
      <c r="A47">
        <v>45</v>
      </c>
      <c r="B47">
        <v>5.0000000000000001E-3</v>
      </c>
      <c r="C47">
        <f t="shared" si="5"/>
        <v>36.332009581507805</v>
      </c>
      <c r="D47">
        <f t="shared" si="0"/>
        <v>77.699130975357249</v>
      </c>
      <c r="E47">
        <f t="shared" si="1"/>
        <v>5.1799420650238162</v>
      </c>
      <c r="F47">
        <v>0</v>
      </c>
      <c r="G47">
        <f t="shared" si="2"/>
        <v>72.51918891033344</v>
      </c>
      <c r="H47">
        <f t="shared" si="3"/>
        <v>0.79896401802029604</v>
      </c>
      <c r="I47">
        <f t="shared" si="4"/>
        <v>57.940222555372898</v>
      </c>
    </row>
    <row r="48" spans="1:9" x14ac:dyDescent="0.3">
      <c r="A48">
        <v>46</v>
      </c>
      <c r="B48">
        <v>5.0000000000000001E-3</v>
      </c>
      <c r="C48">
        <f t="shared" si="5"/>
        <v>33.736866039971531</v>
      </c>
      <c r="D48">
        <f t="shared" si="0"/>
        <v>74.319940183936481</v>
      </c>
      <c r="E48">
        <f t="shared" si="1"/>
        <v>4.9546626789290986</v>
      </c>
      <c r="F48">
        <v>0</v>
      </c>
      <c r="G48">
        <f t="shared" si="2"/>
        <v>69.365277505007384</v>
      </c>
      <c r="H48">
        <f t="shared" si="3"/>
        <v>0.79498907265701102</v>
      </c>
      <c r="I48">
        <f t="shared" si="4"/>
        <v>55.144637638302051</v>
      </c>
    </row>
    <row r="49" spans="1:9" x14ac:dyDescent="0.3">
      <c r="A49">
        <v>47</v>
      </c>
      <c r="B49">
        <v>5.0000000000000001E-3</v>
      </c>
      <c r="C49">
        <f t="shared" si="5"/>
        <v>31.327089894259281</v>
      </c>
      <c r="D49">
        <f t="shared" si="0"/>
        <v>71.087712817479229</v>
      </c>
      <c r="E49">
        <f t="shared" si="1"/>
        <v>4.7391808544986151</v>
      </c>
      <c r="F49">
        <v>0</v>
      </c>
      <c r="G49">
        <f t="shared" si="2"/>
        <v>66.348531962980616</v>
      </c>
      <c r="H49">
        <f t="shared" si="3"/>
        <v>0.79103390314130473</v>
      </c>
      <c r="I49">
        <f t="shared" si="4"/>
        <v>52.483938206372166</v>
      </c>
    </row>
    <row r="50" spans="1:9" x14ac:dyDescent="0.3">
      <c r="A50">
        <v>48</v>
      </c>
      <c r="B50">
        <v>5.0000000000000001E-3</v>
      </c>
      <c r="C50">
        <f t="shared" si="5"/>
        <v>29.089440616097903</v>
      </c>
      <c r="D50">
        <f t="shared" si="0"/>
        <v>67.996057331497326</v>
      </c>
      <c r="E50">
        <f t="shared" si="1"/>
        <v>4.5330704887664881</v>
      </c>
      <c r="F50">
        <v>0</v>
      </c>
      <c r="G50">
        <f t="shared" si="2"/>
        <v>63.462986842730835</v>
      </c>
      <c r="H50">
        <f t="shared" si="3"/>
        <v>0.78709841108587542</v>
      </c>
      <c r="I50">
        <f t="shared" si="4"/>
        <v>49.951616106677257</v>
      </c>
    </row>
    <row r="51" spans="1:9" x14ac:dyDescent="0.3">
      <c r="A51">
        <v>49</v>
      </c>
      <c r="B51">
        <v>5.0000000000000001E-3</v>
      </c>
      <c r="C51">
        <f t="shared" si="5"/>
        <v>27.011623429233769</v>
      </c>
      <c r="D51">
        <f t="shared" si="0"/>
        <v>65.038860154345045</v>
      </c>
      <c r="E51">
        <f t="shared" si="1"/>
        <v>4.3359240102896699</v>
      </c>
      <c r="F51">
        <v>0</v>
      </c>
      <c r="G51">
        <f t="shared" si="2"/>
        <v>60.702936144055371</v>
      </c>
      <c r="H51">
        <f t="shared" si="3"/>
        <v>0.78318249859291089</v>
      </c>
      <c r="I51">
        <f t="shared" si="4"/>
        <v>47.541477201227202</v>
      </c>
    </row>
    <row r="52" spans="1:9" x14ac:dyDescent="0.3">
      <c r="A52">
        <v>50</v>
      </c>
      <c r="B52">
        <v>5.0000000000000001E-3</v>
      </c>
      <c r="C52">
        <f t="shared" si="5"/>
        <v>25.082221755717072</v>
      </c>
      <c r="D52">
        <f t="shared" si="0"/>
        <v>62.210273597981001</v>
      </c>
      <c r="E52">
        <f t="shared" si="1"/>
        <v>4.1473515731987334</v>
      </c>
      <c r="F52">
        <v>0</v>
      </c>
      <c r="G52">
        <f t="shared" si="2"/>
        <v>58.062922024782267</v>
      </c>
      <c r="H52">
        <f t="shared" si="3"/>
        <v>0.77928606825165292</v>
      </c>
      <c r="I52">
        <f t="shared" si="4"/>
        <v>45.247626215894876</v>
      </c>
    </row>
    <row r="53" spans="1:9" x14ac:dyDescent="0.3">
      <c r="A53">
        <v>51</v>
      </c>
      <c r="B53">
        <v>5.0000000000000001E-3</v>
      </c>
      <c r="C53">
        <f t="shared" si="5"/>
        <v>23.290634487451566</v>
      </c>
      <c r="D53">
        <f t="shared" si="0"/>
        <v>59.504704294500186</v>
      </c>
      <c r="E53">
        <f t="shared" si="1"/>
        <v>3.9669802863000125</v>
      </c>
      <c r="F53">
        <v>0</v>
      </c>
      <c r="G53">
        <f t="shared" si="2"/>
        <v>55.537724008200172</v>
      </c>
      <c r="H53">
        <f t="shared" si="3"/>
        <v>0.77540902313597315</v>
      </c>
      <c r="I53">
        <f t="shared" si="4"/>
        <v>43.064452320393777</v>
      </c>
    </row>
    <row r="54" spans="1:9" x14ac:dyDescent="0.3">
      <c r="A54">
        <v>52</v>
      </c>
      <c r="B54">
        <v>5.0000000000000001E-3</v>
      </c>
      <c r="C54">
        <f t="shared" si="5"/>
        <v>21.627017738347885</v>
      </c>
      <c r="D54">
        <f t="shared" si="0"/>
        <v>56.916802135569192</v>
      </c>
      <c r="E54">
        <f t="shared" si="1"/>
        <v>3.7944534757046129</v>
      </c>
      <c r="F54">
        <v>0</v>
      </c>
      <c r="G54">
        <f t="shared" si="2"/>
        <v>53.122348659864578</v>
      </c>
      <c r="H54">
        <f t="shared" si="3"/>
        <v>0.7715512668019634</v>
      </c>
      <c r="I54">
        <f t="shared" si="4"/>
        <v>40.986615404014096</v>
      </c>
    </row>
    <row r="55" spans="1:9" x14ac:dyDescent="0.3">
      <c r="A55">
        <v>53</v>
      </c>
      <c r="B55">
        <v>5.0000000000000001E-3</v>
      </c>
      <c r="C55">
        <f t="shared" si="5"/>
        <v>20.082230757037323</v>
      </c>
      <c r="D55">
        <f t="shared" si="0"/>
        <v>54.441449692893457</v>
      </c>
      <c r="E55">
        <f t="shared" si="1"/>
        <v>3.6294299795262304</v>
      </c>
      <c r="F55">
        <v>0</v>
      </c>
      <c r="G55">
        <f t="shared" si="2"/>
        <v>50.812019713367228</v>
      </c>
      <c r="H55">
        <f t="shared" si="3"/>
        <v>0.76771270328553587</v>
      </c>
      <c r="I55">
        <f t="shared" si="4"/>
        <v>39.009033013547096</v>
      </c>
    </row>
    <row r="56" spans="1:9" x14ac:dyDescent="0.3">
      <c r="A56">
        <v>54</v>
      </c>
      <c r="B56">
        <v>5.0000000000000001E-3</v>
      </c>
      <c r="C56">
        <f t="shared" si="5"/>
        <v>18.64778570296323</v>
      </c>
      <c r="D56">
        <f t="shared" si="0"/>
        <v>52.07375209879595</v>
      </c>
      <c r="E56">
        <f t="shared" si="1"/>
        <v>3.4715834732530633</v>
      </c>
      <c r="F56">
        <v>0</v>
      </c>
      <c r="G56">
        <f t="shared" si="2"/>
        <v>48.602168625542888</v>
      </c>
      <c r="H56">
        <f t="shared" si="3"/>
        <v>0.76389323710003587</v>
      </c>
      <c r="I56">
        <f t="shared" si="4"/>
        <v>37.126867921447754</v>
      </c>
    </row>
    <row r="57" spans="1:9" x14ac:dyDescent="0.3">
      <c r="A57">
        <v>55</v>
      </c>
      <c r="B57">
        <v>5.0000000000000001E-3</v>
      </c>
      <c r="C57">
        <f t="shared" si="5"/>
        <v>17.315801009894429</v>
      </c>
      <c r="D57">
        <f t="shared" si="0"/>
        <v>49.809027366896622</v>
      </c>
      <c r="E57">
        <f t="shared" si="1"/>
        <v>3.3206018244597746</v>
      </c>
      <c r="F57">
        <v>0</v>
      </c>
      <c r="G57">
        <f t="shared" si="2"/>
        <v>46.48842554243685</v>
      </c>
      <c r="H57">
        <f t="shared" si="3"/>
        <v>0.76009277323386659</v>
      </c>
      <c r="I57">
        <f t="shared" si="4"/>
        <v>35.335516293826942</v>
      </c>
    </row>
    <row r="58" spans="1:9" x14ac:dyDescent="0.3">
      <c r="A58">
        <v>56</v>
      </c>
      <c r="B58">
        <v>5.0000000000000001E-3</v>
      </c>
      <c r="C58">
        <f t="shared" si="5"/>
        <v>16.078958080616257</v>
      </c>
      <c r="D58">
        <f t="shared" si="0"/>
        <v>47.642797133752531</v>
      </c>
      <c r="E58">
        <f t="shared" si="1"/>
        <v>3.1761864755835019</v>
      </c>
      <c r="F58">
        <v>0</v>
      </c>
      <c r="G58">
        <f t="shared" si="2"/>
        <v>44.466610658169031</v>
      </c>
      <c r="H58">
        <f t="shared" si="3"/>
        <v>0.75631121714812588</v>
      </c>
      <c r="I58">
        <f t="shared" si="4"/>
        <v>33.630596429331646</v>
      </c>
    </row>
    <row r="59" spans="1:9" x14ac:dyDescent="0.3">
      <c r="A59">
        <v>57</v>
      </c>
      <c r="B59">
        <v>5.0000000000000001E-3</v>
      </c>
      <c r="C59">
        <f t="shared" si="5"/>
        <v>14.930461074857954</v>
      </c>
      <c r="D59">
        <f t="shared" si="0"/>
        <v>45.570777803150712</v>
      </c>
      <c r="E59">
        <f t="shared" si="1"/>
        <v>3.0380518535433807</v>
      </c>
      <c r="F59">
        <v>0</v>
      </c>
      <c r="G59">
        <f t="shared" si="2"/>
        <v>42.532725949607332</v>
      </c>
      <c r="H59">
        <f t="shared" si="3"/>
        <v>0.75254847477425479</v>
      </c>
      <c r="I59">
        <f t="shared" si="4"/>
        <v>32.007938041368369</v>
      </c>
    </row>
    <row r="60" spans="1:9" x14ac:dyDescent="0.3">
      <c r="A60">
        <v>58</v>
      </c>
      <c r="B60">
        <v>5.0000000000000001E-3</v>
      </c>
      <c r="C60">
        <f t="shared" si="5"/>
        <v>13.863999569510957</v>
      </c>
      <c r="D60">
        <f t="shared" si="0"/>
        <v>43.5888720755419</v>
      </c>
      <c r="E60">
        <f t="shared" si="1"/>
        <v>2.9059248050361268</v>
      </c>
      <c r="F60">
        <v>0</v>
      </c>
      <c r="G60">
        <f t="shared" si="2"/>
        <v>40.682947270505771</v>
      </c>
      <c r="H60">
        <f t="shared" si="3"/>
        <v>0.74880445251169647</v>
      </c>
      <c r="I60">
        <f t="shared" si="4"/>
        <v>30.463572057453291</v>
      </c>
    </row>
    <row r="61" spans="1:9" x14ac:dyDescent="0.3">
      <c r="A61">
        <v>59</v>
      </c>
      <c r="B61">
        <v>5.0000000000000001E-3</v>
      </c>
      <c r="C61">
        <f t="shared" si="5"/>
        <v>12.87371388597446</v>
      </c>
      <c r="D61">
        <f t="shared" si="0"/>
        <v>41.693160845865421</v>
      </c>
      <c r="E61">
        <f t="shared" si="1"/>
        <v>2.7795440563910279</v>
      </c>
      <c r="F61">
        <v>0</v>
      </c>
      <c r="G61">
        <f t="shared" si="2"/>
        <v>38.913616789474396</v>
      </c>
      <c r="H61">
        <f t="shared" si="3"/>
        <v>0.74507905722556877</v>
      </c>
      <c r="I61">
        <f t="shared" si="4"/>
        <v>28.993720910738649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CC2C-BDAE-43F4-8BE3-00E6E730F22A}">
  <dimension ref="A1:L61"/>
  <sheetViews>
    <sheetView topLeftCell="H37" workbookViewId="0">
      <selection activeCell="J2" sqref="J2"/>
    </sheetView>
  </sheetViews>
  <sheetFormatPr defaultRowHeight="14.4" x14ac:dyDescent="0.3"/>
  <cols>
    <col min="1" max="1" width="6.109375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0</v>
      </c>
    </row>
    <row r="2" spans="1:12" x14ac:dyDescent="0.3">
      <c r="A2">
        <v>0</v>
      </c>
      <c r="B2">
        <v>3.0000000000000001E-3</v>
      </c>
      <c r="C2">
        <f>L10</f>
        <v>1020</v>
      </c>
      <c r="D2">
        <f>$L$2*(C2^0.6)</f>
        <v>574.64894338537442</v>
      </c>
      <c r="E2">
        <f>$L$9*D2/2</f>
        <v>19.154964779512479</v>
      </c>
      <c r="F2">
        <v>560.9668256857226</v>
      </c>
      <c r="G2">
        <f>D2 - F2 - E2</f>
        <v>-5.472847079860653</v>
      </c>
      <c r="H2">
        <f>1/(1+B2)^A2</f>
        <v>1</v>
      </c>
      <c r="I2">
        <f>G2*H2</f>
        <v>-5.472847079860653</v>
      </c>
      <c r="J2">
        <f>SUM(I2:I61)</f>
        <v>76043.326449653963</v>
      </c>
      <c r="K2" t="s">
        <v>1</v>
      </c>
      <c r="L2">
        <v>9</v>
      </c>
    </row>
    <row r="3" spans="1:12" x14ac:dyDescent="0.3">
      <c r="A3">
        <v>1</v>
      </c>
      <c r="B3">
        <v>3.0000000000000001E-3</v>
      </c>
      <c r="C3">
        <f>(1-$L$8)*C2+F2</f>
        <v>1508.1096828285799</v>
      </c>
      <c r="D3">
        <f t="shared" ref="D3:D61" si="0">$L$2*(C3^0.6)</f>
        <v>726.61149888881755</v>
      </c>
      <c r="E3">
        <f t="shared" ref="E3:E61" si="1">$L$9*D3/2</f>
        <v>24.220383296293917</v>
      </c>
      <c r="F3">
        <v>688.54776072591869</v>
      </c>
      <c r="G3">
        <f t="shared" ref="G3:G61" si="2">D3 - F3 - E3</f>
        <v>13.84335486660494</v>
      </c>
      <c r="H3">
        <f t="shared" ref="H3:H61" si="3">1/(1+B3)^A3</f>
        <v>0.99700897308075787</v>
      </c>
      <c r="I3">
        <f t="shared" ref="I3:I61" si="4">G3*H3</f>
        <v>13.801949019546303</v>
      </c>
      <c r="K3" t="s">
        <v>2</v>
      </c>
      <c r="L3">
        <v>10</v>
      </c>
    </row>
    <row r="4" spans="1:12" x14ac:dyDescent="0.3">
      <c r="A4">
        <v>2</v>
      </c>
      <c r="B4">
        <v>3.0000000000000001E-3</v>
      </c>
      <c r="C4">
        <f t="shared" ref="C4:C61" si="5">(1-$L$8)*C3+F3</f>
        <v>2088.9353233524571</v>
      </c>
      <c r="D4">
        <f t="shared" si="0"/>
        <v>883.4815932431959</v>
      </c>
      <c r="E4">
        <f t="shared" si="1"/>
        <v>29.449386441439863</v>
      </c>
      <c r="F4">
        <v>819.57753010111605</v>
      </c>
      <c r="G4">
        <f t="shared" si="2"/>
        <v>34.454676700639986</v>
      </c>
      <c r="H4">
        <f t="shared" si="3"/>
        <v>0.99402689240354736</v>
      </c>
      <c r="I4">
        <f t="shared" si="4"/>
        <v>34.248875209506075</v>
      </c>
      <c r="K4" t="s">
        <v>3</v>
      </c>
      <c r="L4">
        <v>20</v>
      </c>
    </row>
    <row r="5" spans="1:12" x14ac:dyDescent="0.3">
      <c r="A5">
        <v>3</v>
      </c>
      <c r="B5">
        <v>3.0000000000000001E-3</v>
      </c>
      <c r="C5">
        <f t="shared" si="5"/>
        <v>2759.303187499826</v>
      </c>
      <c r="D5">
        <f t="shared" si="0"/>
        <v>1044.0520802124743</v>
      </c>
      <c r="E5">
        <f t="shared" si="1"/>
        <v>34.801736007082475</v>
      </c>
      <c r="F5">
        <v>952.32698965057045</v>
      </c>
      <c r="G5">
        <f t="shared" si="2"/>
        <v>56.923354554821337</v>
      </c>
      <c r="H5">
        <f t="shared" si="3"/>
        <v>0.99105373120991769</v>
      </c>
      <c r="I5">
        <f t="shared" si="4"/>
        <v>56.414102924540749</v>
      </c>
      <c r="K5" t="s">
        <v>4</v>
      </c>
      <c r="L5">
        <v>9</v>
      </c>
    </row>
    <row r="6" spans="1:12" x14ac:dyDescent="0.3">
      <c r="A6">
        <v>4</v>
      </c>
      <c r="B6">
        <v>3.0000000000000001E-3</v>
      </c>
      <c r="C6">
        <f t="shared" si="5"/>
        <v>3514.5370923289802</v>
      </c>
      <c r="D6">
        <f t="shared" si="0"/>
        <v>1207.1559745438649</v>
      </c>
      <c r="E6">
        <f t="shared" si="1"/>
        <v>40.238532484795499</v>
      </c>
      <c r="F6">
        <v>1085.4131807036922</v>
      </c>
      <c r="G6">
        <f t="shared" si="2"/>
        <v>81.504261355377182</v>
      </c>
      <c r="H6">
        <f t="shared" si="3"/>
        <v>0.98808946282145349</v>
      </c>
      <c r="I6">
        <f t="shared" si="4"/>
        <v>80.533501820293992</v>
      </c>
      <c r="K6" t="s">
        <v>5</v>
      </c>
      <c r="L6">
        <v>10</v>
      </c>
    </row>
    <row r="7" spans="1:12" x14ac:dyDescent="0.3">
      <c r="A7">
        <v>5</v>
      </c>
      <c r="B7">
        <v>3.0000000000000001E-3</v>
      </c>
      <c r="C7">
        <f t="shared" si="5"/>
        <v>4348.9119092948886</v>
      </c>
      <c r="D7">
        <f t="shared" si="0"/>
        <v>1371.7370721356922</v>
      </c>
      <c r="E7">
        <f t="shared" si="1"/>
        <v>45.724569071189741</v>
      </c>
      <c r="F7">
        <v>1217.7338796118174</v>
      </c>
      <c r="G7">
        <f t="shared" si="2"/>
        <v>108.27862345268503</v>
      </c>
      <c r="H7">
        <f t="shared" si="3"/>
        <v>0.9851340606395349</v>
      </c>
      <c r="I7">
        <f t="shared" si="4"/>
        <v>106.66896000240277</v>
      </c>
      <c r="K7" t="s">
        <v>7</v>
      </c>
      <c r="L7" t="s">
        <v>6</v>
      </c>
    </row>
    <row r="8" spans="1:12" x14ac:dyDescent="0.3">
      <c r="A8">
        <v>6</v>
      </c>
      <c r="B8">
        <v>3.0000000000000001E-3</v>
      </c>
      <c r="C8">
        <f t="shared" si="5"/>
        <v>5256.0092239570713</v>
      </c>
      <c r="D8">
        <f t="shared" si="0"/>
        <v>1536.8666293203662</v>
      </c>
      <c r="E8">
        <f t="shared" si="1"/>
        <v>51.228887644012204</v>
      </c>
      <c r="F8">
        <v>1348.4151281060463</v>
      </c>
      <c r="G8">
        <f t="shared" si="2"/>
        <v>137.22261357030771</v>
      </c>
      <c r="H8">
        <f t="shared" si="3"/>
        <v>0.98218749814509987</v>
      </c>
      <c r="I8">
        <f t="shared" si="4"/>
        <v>134.77833551155237</v>
      </c>
      <c r="K8" s="1" t="s">
        <v>8</v>
      </c>
      <c r="L8">
        <f>1/(5+L5)</f>
        <v>7.1428571428571425E-2</v>
      </c>
    </row>
    <row r="9" spans="1:12" x14ac:dyDescent="0.3">
      <c r="A9">
        <v>7</v>
      </c>
      <c r="B9">
        <v>3.0000000000000001E-3</v>
      </c>
      <c r="C9">
        <f t="shared" si="5"/>
        <v>6228.9951217804701</v>
      </c>
      <c r="D9">
        <f t="shared" si="0"/>
        <v>1701.7403787965327</v>
      </c>
      <c r="E9">
        <f t="shared" si="1"/>
        <v>56.724679293217754</v>
      </c>
      <c r="F9">
        <v>1476.7692267211842</v>
      </c>
      <c r="G9">
        <f t="shared" si="2"/>
        <v>168.24647278213078</v>
      </c>
      <c r="H9">
        <f t="shared" si="3"/>
        <v>0.97924974889840477</v>
      </c>
      <c r="I9">
        <f t="shared" si="4"/>
        <v>164.75531622494387</v>
      </c>
      <c r="K9" t="s">
        <v>9</v>
      </c>
      <c r="L9">
        <f>1/(5+L6)</f>
        <v>6.6666666666666666E-2</v>
      </c>
    </row>
    <row r="10" spans="1:12" x14ac:dyDescent="0.3">
      <c r="A10">
        <v>8</v>
      </c>
      <c r="B10">
        <v>3.0000000000000001E-3</v>
      </c>
      <c r="C10">
        <f t="shared" si="5"/>
        <v>7260.8361255173349</v>
      </c>
      <c r="D10">
        <f t="shared" si="0"/>
        <v>1865.6685493264927</v>
      </c>
      <c r="E10">
        <f t="shared" si="1"/>
        <v>62.188951644216424</v>
      </c>
      <c r="F10">
        <v>1602.2609695415269</v>
      </c>
      <c r="G10">
        <f t="shared" si="2"/>
        <v>201.2186281407493</v>
      </c>
      <c r="H10">
        <f t="shared" si="3"/>
        <v>0.97632078653878851</v>
      </c>
      <c r="I10">
        <f t="shared" si="4"/>
        <v>196.45392929263235</v>
      </c>
      <c r="K10" t="s">
        <v>10</v>
      </c>
      <c r="L10">
        <f>100*L2+10*L3+L4</f>
        <v>1020</v>
      </c>
    </row>
    <row r="11" spans="1:12" x14ac:dyDescent="0.3">
      <c r="A11">
        <v>9</v>
      </c>
      <c r="B11">
        <v>3.0000000000000001E-3</v>
      </c>
      <c r="C11">
        <f t="shared" si="5"/>
        <v>8344.465943236195</v>
      </c>
      <c r="D11">
        <f t="shared" si="0"/>
        <v>2028.0639128686403</v>
      </c>
      <c r="E11">
        <f t="shared" si="1"/>
        <v>67.60213042895468</v>
      </c>
      <c r="F11">
        <v>1724.4803418936776</v>
      </c>
      <c r="G11">
        <f t="shared" si="2"/>
        <v>235.98144054600795</v>
      </c>
      <c r="H11">
        <f t="shared" si="3"/>
        <v>0.97340058478443536</v>
      </c>
      <c r="I11">
        <f t="shared" si="4"/>
        <v>229.7044722257576</v>
      </c>
    </row>
    <row r="12" spans="1:12" x14ac:dyDescent="0.3">
      <c r="A12">
        <v>10</v>
      </c>
      <c r="B12">
        <v>3.0000000000000001E-3</v>
      </c>
      <c r="C12">
        <f t="shared" si="5"/>
        <v>9472.9130034701448</v>
      </c>
      <c r="D12">
        <f t="shared" si="0"/>
        <v>2188.4298947732022</v>
      </c>
      <c r="E12">
        <f t="shared" si="1"/>
        <v>72.947663159106739</v>
      </c>
      <c r="F12">
        <v>1494.5469126574815</v>
      </c>
      <c r="G12">
        <f t="shared" si="2"/>
        <v>620.93531895661408</v>
      </c>
      <c r="H12">
        <f t="shared" si="3"/>
        <v>0.97048911743213906</v>
      </c>
      <c r="I12">
        <f t="shared" si="4"/>
        <v>602.61096967664821</v>
      </c>
    </row>
    <row r="13" spans="1:12" x14ac:dyDescent="0.3">
      <c r="A13">
        <v>11</v>
      </c>
      <c r="B13">
        <v>3.0000000000000001E-3</v>
      </c>
      <c r="C13">
        <f t="shared" si="5"/>
        <v>10290.823273022615</v>
      </c>
      <c r="D13">
        <f t="shared" si="0"/>
        <v>2299.919214041804</v>
      </c>
      <c r="E13">
        <f t="shared" si="1"/>
        <v>76.663973801393468</v>
      </c>
      <c r="F13">
        <v>1124.5176525524737</v>
      </c>
      <c r="G13">
        <f t="shared" si="2"/>
        <v>1098.7375876879369</v>
      </c>
      <c r="H13">
        <f t="shared" si="3"/>
        <v>0.96758635835706785</v>
      </c>
      <c r="I13">
        <f t="shared" si="4"/>
        <v>1063.1235012610005</v>
      </c>
    </row>
    <row r="14" spans="1:12" x14ac:dyDescent="0.3">
      <c r="A14">
        <v>12</v>
      </c>
      <c r="B14">
        <v>3.0000000000000001E-3</v>
      </c>
      <c r="C14">
        <f t="shared" si="5"/>
        <v>10680.282120359188</v>
      </c>
      <c r="D14">
        <f t="shared" si="0"/>
        <v>2351.7553696198379</v>
      </c>
      <c r="E14">
        <f t="shared" si="1"/>
        <v>78.391845653994594</v>
      </c>
      <c r="F14">
        <v>1134.9389902684864</v>
      </c>
      <c r="G14">
        <f t="shared" si="2"/>
        <v>1138.424533697357</v>
      </c>
      <c r="H14">
        <f t="shared" si="3"/>
        <v>0.96469228151253039</v>
      </c>
      <c r="I14">
        <f t="shared" si="4"/>
        <v>1098.2293607423419</v>
      </c>
    </row>
    <row r="15" spans="1:12" x14ac:dyDescent="0.3">
      <c r="A15">
        <v>13</v>
      </c>
      <c r="B15">
        <v>3.0000000000000001E-3</v>
      </c>
      <c r="C15">
        <f t="shared" si="5"/>
        <v>11052.343816316305</v>
      </c>
      <c r="D15">
        <f t="shared" si="0"/>
        <v>2400.5742392072984</v>
      </c>
      <c r="E15">
        <f t="shared" si="1"/>
        <v>80.019141306909944</v>
      </c>
      <c r="F15">
        <v>1121.0831891725015</v>
      </c>
      <c r="G15">
        <f t="shared" si="2"/>
        <v>1199.471908727887</v>
      </c>
      <c r="H15">
        <f t="shared" si="3"/>
        <v>0.96180686092974133</v>
      </c>
      <c r="I15">
        <f t="shared" si="4"/>
        <v>1153.6603113069741</v>
      </c>
    </row>
    <row r="16" spans="1:12" x14ac:dyDescent="0.3">
      <c r="A16">
        <v>14</v>
      </c>
      <c r="B16">
        <v>3.0000000000000001E-3</v>
      </c>
      <c r="C16">
        <f t="shared" si="5"/>
        <v>11383.973875751926</v>
      </c>
      <c r="D16">
        <f t="shared" si="0"/>
        <v>2443.5365735880273</v>
      </c>
      <c r="E16">
        <f t="shared" si="1"/>
        <v>81.451219119600907</v>
      </c>
      <c r="F16">
        <v>1109.3103386689377</v>
      </c>
      <c r="G16">
        <f t="shared" si="2"/>
        <v>1252.7750157994888</v>
      </c>
      <c r="H16">
        <f t="shared" si="3"/>
        <v>0.95893007071758884</v>
      </c>
      <c r="I16">
        <f t="shared" si="4"/>
        <v>1201.3236344938323</v>
      </c>
    </row>
    <row r="17" spans="1:9" x14ac:dyDescent="0.3">
      <c r="A17">
        <v>15</v>
      </c>
      <c r="B17">
        <v>3.0000000000000001E-3</v>
      </c>
      <c r="C17">
        <f t="shared" si="5"/>
        <v>11680.143223295727</v>
      </c>
      <c r="D17">
        <f t="shared" si="0"/>
        <v>2481.4836059103241</v>
      </c>
      <c r="E17">
        <f t="shared" si="1"/>
        <v>82.716120197010795</v>
      </c>
      <c r="F17">
        <v>1113.0370254167065</v>
      </c>
      <c r="G17">
        <f t="shared" si="2"/>
        <v>1285.7304602966069</v>
      </c>
      <c r="H17">
        <f t="shared" si="3"/>
        <v>0.95606188506240175</v>
      </c>
      <c r="I17">
        <f t="shared" si="4"/>
        <v>1229.2378875533234</v>
      </c>
    </row>
    <row r="18" spans="1:9" x14ac:dyDescent="0.3">
      <c r="A18">
        <v>16</v>
      </c>
      <c r="B18">
        <v>3.0000000000000001E-3</v>
      </c>
      <c r="C18">
        <f t="shared" si="5"/>
        <v>11958.88430419131</v>
      </c>
      <c r="D18">
        <f t="shared" si="0"/>
        <v>2516.8475366662647</v>
      </c>
      <c r="E18">
        <f t="shared" si="1"/>
        <v>83.894917888875483</v>
      </c>
      <c r="F18">
        <v>1124.222035166383</v>
      </c>
      <c r="G18">
        <f t="shared" si="2"/>
        <v>1308.7305836110063</v>
      </c>
      <c r="H18">
        <f t="shared" si="3"/>
        <v>0.95320227822771864</v>
      </c>
      <c r="I18">
        <f t="shared" si="4"/>
        <v>1247.4849738843029</v>
      </c>
    </row>
    <row r="19" spans="1:9" x14ac:dyDescent="0.3">
      <c r="A19">
        <v>17</v>
      </c>
      <c r="B19">
        <v>3.0000000000000001E-3</v>
      </c>
      <c r="C19">
        <f t="shared" si="5"/>
        <v>12228.900317629743</v>
      </c>
      <c r="D19">
        <f t="shared" si="0"/>
        <v>2550.7914487195003</v>
      </c>
      <c r="E19">
        <f t="shared" si="1"/>
        <v>85.02638162398334</v>
      </c>
      <c r="F19">
        <v>1132.2847226164126</v>
      </c>
      <c r="G19">
        <f t="shared" si="2"/>
        <v>1333.4803444791044</v>
      </c>
      <c r="H19">
        <f t="shared" si="3"/>
        <v>0.95035122455405663</v>
      </c>
      <c r="I19">
        <f t="shared" si="4"/>
        <v>1267.2746782944821</v>
      </c>
    </row>
    <row r="20" spans="1:9" x14ac:dyDescent="0.3">
      <c r="A20">
        <v>18</v>
      </c>
      <c r="B20">
        <v>3.0000000000000001E-3</v>
      </c>
      <c r="C20">
        <f t="shared" si="5"/>
        <v>12487.69216041546</v>
      </c>
      <c r="D20">
        <f t="shared" si="0"/>
        <v>2583.0440944498482</v>
      </c>
      <c r="E20">
        <f t="shared" si="1"/>
        <v>86.101469814994942</v>
      </c>
      <c r="F20">
        <v>1132.7269397046628</v>
      </c>
      <c r="G20">
        <f t="shared" si="2"/>
        <v>1364.2156849301905</v>
      </c>
      <c r="H20">
        <f t="shared" si="3"/>
        <v>0.94750869845868069</v>
      </c>
      <c r="I20">
        <f t="shared" si="4"/>
        <v>1292.6062280451224</v>
      </c>
    </row>
    <row r="21" spans="1:9" x14ac:dyDescent="0.3">
      <c r="A21">
        <v>19</v>
      </c>
      <c r="B21">
        <v>3.0000000000000001E-3</v>
      </c>
      <c r="C21">
        <f t="shared" si="5"/>
        <v>12728.441088661875</v>
      </c>
      <c r="D21">
        <f t="shared" si="0"/>
        <v>2612.8088567849386</v>
      </c>
      <c r="E21">
        <f t="shared" si="1"/>
        <v>87.093628559497958</v>
      </c>
      <c r="F21">
        <v>1127.2176141568298</v>
      </c>
      <c r="G21">
        <f t="shared" si="2"/>
        <v>1398.4976140686108</v>
      </c>
      <c r="H21">
        <f t="shared" si="3"/>
        <v>0.94467467443537456</v>
      </c>
      <c r="I21">
        <f t="shared" si="4"/>
        <v>1321.125278268913</v>
      </c>
    </row>
    <row r="22" spans="1:9" x14ac:dyDescent="0.3">
      <c r="A22">
        <v>20</v>
      </c>
      <c r="B22">
        <v>3.0000000000000001E-3</v>
      </c>
      <c r="C22">
        <f t="shared" si="5"/>
        <v>12946.484339342856</v>
      </c>
      <c r="D22">
        <f t="shared" si="0"/>
        <v>2639.572649231442</v>
      </c>
      <c r="E22">
        <f t="shared" si="1"/>
        <v>87.985754974381393</v>
      </c>
      <c r="F22">
        <v>1120.0895833857389</v>
      </c>
      <c r="G22">
        <f t="shared" si="2"/>
        <v>1431.4973108713216</v>
      </c>
      <c r="H22">
        <f t="shared" si="3"/>
        <v>0.94184912705421209</v>
      </c>
      <c r="I22">
        <f t="shared" si="4"/>
        <v>1348.2544926246062</v>
      </c>
    </row>
    <row r="23" spans="1:9" x14ac:dyDescent="0.3">
      <c r="A23">
        <v>21</v>
      </c>
      <c r="B23">
        <v>3.0000000000000001E-3</v>
      </c>
      <c r="C23">
        <f t="shared" si="5"/>
        <v>13141.825041346963</v>
      </c>
      <c r="D23">
        <f t="shared" si="0"/>
        <v>2663.3970727276346</v>
      </c>
      <c r="E23">
        <f t="shared" si="1"/>
        <v>88.779902424254487</v>
      </c>
      <c r="F23">
        <v>1115.0126211011404</v>
      </c>
      <c r="G23">
        <f t="shared" si="2"/>
        <v>1459.6045492022397</v>
      </c>
      <c r="H23">
        <f t="shared" si="3"/>
        <v>0.93903203096132815</v>
      </c>
      <c r="I23">
        <f t="shared" si="4"/>
        <v>1370.6154242377729</v>
      </c>
    </row>
    <row r="24" spans="1:9" x14ac:dyDescent="0.3">
      <c r="A24">
        <v>22</v>
      </c>
      <c r="B24">
        <v>3.0000000000000001E-3</v>
      </c>
      <c r="C24">
        <f t="shared" si="5"/>
        <v>13318.135873780464</v>
      </c>
      <c r="D24">
        <f t="shared" si="0"/>
        <v>2684.7791982344324</v>
      </c>
      <c r="E24">
        <f t="shared" si="1"/>
        <v>89.492639941147743</v>
      </c>
      <c r="F24">
        <v>1113.5053808654218</v>
      </c>
      <c r="G24">
        <f t="shared" si="2"/>
        <v>1481.781177427863</v>
      </c>
      <c r="H24">
        <f t="shared" si="3"/>
        <v>0.9362233608786924</v>
      </c>
      <c r="I24">
        <f t="shared" si="4"/>
        <v>1387.2781540182998</v>
      </c>
    </row>
    <row r="25" spans="1:9" x14ac:dyDescent="0.3">
      <c r="A25">
        <v>23</v>
      </c>
      <c r="B25">
        <v>3.0000000000000001E-3</v>
      </c>
      <c r="C25">
        <f t="shared" si="5"/>
        <v>13480.345835090138</v>
      </c>
      <c r="D25">
        <f t="shared" si="0"/>
        <v>2704.3514452469221</v>
      </c>
      <c r="E25">
        <f t="shared" si="1"/>
        <v>90.145048174897397</v>
      </c>
      <c r="F25">
        <v>1115.1264467338362</v>
      </c>
      <c r="G25">
        <f t="shared" si="2"/>
        <v>1499.0799503381886</v>
      </c>
      <c r="H25">
        <f t="shared" si="3"/>
        <v>0.93342309160388093</v>
      </c>
      <c r="I25">
        <f t="shared" si="4"/>
        <v>1399.2758418060644</v>
      </c>
    </row>
    <row r="26" spans="1:9" x14ac:dyDescent="0.3">
      <c r="A26">
        <v>24</v>
      </c>
      <c r="B26">
        <v>3.0000000000000001E-3</v>
      </c>
      <c r="C26">
        <f t="shared" si="5"/>
        <v>13632.590436460394</v>
      </c>
      <c r="D26">
        <f t="shared" si="0"/>
        <v>2722.6357443156198</v>
      </c>
      <c r="E26">
        <f t="shared" si="1"/>
        <v>90.754524810520664</v>
      </c>
      <c r="F26">
        <v>1118.4751030944003</v>
      </c>
      <c r="G26">
        <f t="shared" si="2"/>
        <v>1513.4061164106988</v>
      </c>
      <c r="H26">
        <f t="shared" si="3"/>
        <v>0.93063119800985139</v>
      </c>
      <c r="I26">
        <f t="shared" si="4"/>
        <v>1408.4229471907252</v>
      </c>
    </row>
    <row r="27" spans="1:9" x14ac:dyDescent="0.3">
      <c r="A27">
        <v>25</v>
      </c>
      <c r="B27">
        <v>3.0000000000000001E-3</v>
      </c>
      <c r="C27">
        <f t="shared" si="5"/>
        <v>13777.309079807625</v>
      </c>
      <c r="D27">
        <f t="shared" si="0"/>
        <v>2739.9406163957019</v>
      </c>
      <c r="E27">
        <f t="shared" si="1"/>
        <v>91.331353879856735</v>
      </c>
      <c r="F27">
        <v>1122.1066985819073</v>
      </c>
      <c r="G27">
        <f t="shared" si="2"/>
        <v>1526.5025639339378</v>
      </c>
      <c r="H27">
        <f t="shared" si="3"/>
        <v>0.92784765504471733</v>
      </c>
      <c r="I27">
        <f t="shared" si="4"/>
        <v>1416.361824365853</v>
      </c>
    </row>
    <row r="28" spans="1:9" x14ac:dyDescent="0.3">
      <c r="A28">
        <v>26</v>
      </c>
      <c r="B28">
        <v>3.0000000000000001E-3</v>
      </c>
      <c r="C28">
        <f t="shared" si="5"/>
        <v>13915.322272688987</v>
      </c>
      <c r="D28">
        <f t="shared" si="0"/>
        <v>2756.3760693803947</v>
      </c>
      <c r="E28">
        <f t="shared" si="1"/>
        <v>91.879202312679823</v>
      </c>
      <c r="F28">
        <v>1125.0115335684802</v>
      </c>
      <c r="G28">
        <f t="shared" si="2"/>
        <v>1539.4853334992347</v>
      </c>
      <c r="H28">
        <f t="shared" si="3"/>
        <v>0.92507243773152303</v>
      </c>
      <c r="I28">
        <f t="shared" si="4"/>
        <v>1424.1354503120638</v>
      </c>
    </row>
    <row r="29" spans="1:9" x14ac:dyDescent="0.3">
      <c r="A29">
        <v>27</v>
      </c>
      <c r="B29">
        <v>3.0000000000000001E-3</v>
      </c>
      <c r="C29">
        <f t="shared" si="5"/>
        <v>14046.382215351112</v>
      </c>
      <c r="D29">
        <f t="shared" si="0"/>
        <v>2771.9232328727585</v>
      </c>
      <c r="E29">
        <f t="shared" si="1"/>
        <v>92.397441095758609</v>
      </c>
      <c r="F29">
        <v>1126.6805662893739</v>
      </c>
      <c r="G29">
        <f t="shared" si="2"/>
        <v>1552.8452254876261</v>
      </c>
      <c r="H29">
        <f t="shared" si="3"/>
        <v>0.92230552116801889</v>
      </c>
      <c r="I29">
        <f t="shared" si="4"/>
        <v>1432.1977249866347</v>
      </c>
    </row>
    <row r="30" spans="1:9" x14ac:dyDescent="0.3">
      <c r="A30">
        <v>28</v>
      </c>
      <c r="B30">
        <v>3.0000000000000001E-3</v>
      </c>
      <c r="C30">
        <f t="shared" si="5"/>
        <v>14169.749766258265</v>
      </c>
      <c r="D30">
        <f t="shared" si="0"/>
        <v>2786.5049438184128</v>
      </c>
      <c r="E30">
        <f t="shared" si="1"/>
        <v>92.883498127280433</v>
      </c>
      <c r="F30">
        <v>1126.9687206899898</v>
      </c>
      <c r="G30">
        <f t="shared" si="2"/>
        <v>1566.6527250011425</v>
      </c>
      <c r="H30">
        <f t="shared" si="3"/>
        <v>0.91954688052643974</v>
      </c>
      <c r="I30">
        <f t="shared" si="4"/>
        <v>1440.6106261430468</v>
      </c>
    </row>
    <row r="31" spans="1:9" x14ac:dyDescent="0.3">
      <c r="A31">
        <v>29</v>
      </c>
      <c r="B31">
        <v>3.0000000000000001E-3</v>
      </c>
      <c r="C31">
        <f t="shared" si="5"/>
        <v>14284.593503644093</v>
      </c>
      <c r="D31">
        <f t="shared" si="0"/>
        <v>2800.0335890806641</v>
      </c>
      <c r="E31">
        <f t="shared" si="1"/>
        <v>93.334452969355468</v>
      </c>
      <c r="F31">
        <v>1125.9589395603045</v>
      </c>
      <c r="G31">
        <f t="shared" si="2"/>
        <v>1580.7401965510041</v>
      </c>
      <c r="H31">
        <f t="shared" si="3"/>
        <v>0.91679649105328009</v>
      </c>
      <c r="I31">
        <f t="shared" si="4"/>
        <v>1449.2170654648328</v>
      </c>
    </row>
    <row r="32" spans="1:9" x14ac:dyDescent="0.3">
      <c r="A32">
        <v>30</v>
      </c>
      <c r="B32">
        <v>3.0000000000000001E-3</v>
      </c>
      <c r="C32">
        <f t="shared" si="5"/>
        <v>14390.224335801249</v>
      </c>
      <c r="D32">
        <f t="shared" si="0"/>
        <v>2812.4385883274103</v>
      </c>
      <c r="E32">
        <f t="shared" si="1"/>
        <v>93.747952944247004</v>
      </c>
      <c r="F32">
        <v>1123.9361558964677</v>
      </c>
      <c r="G32">
        <f t="shared" si="2"/>
        <v>1594.7544794866958</v>
      </c>
      <c r="H32">
        <f t="shared" si="3"/>
        <v>0.91405432806907294</v>
      </c>
      <c r="I32">
        <f t="shared" si="4"/>
        <v>1457.6922341823558</v>
      </c>
    </row>
    <row r="33" spans="1:9" x14ac:dyDescent="0.3">
      <c r="A33">
        <v>31</v>
      </c>
      <c r="B33">
        <v>3.0000000000000001E-3</v>
      </c>
      <c r="C33">
        <f t="shared" si="5"/>
        <v>14486.287324854771</v>
      </c>
      <c r="D33">
        <f t="shared" si="0"/>
        <v>2823.6883782130626</v>
      </c>
      <c r="E33">
        <f t="shared" si="1"/>
        <v>94.122945940435415</v>
      </c>
      <c r="F33">
        <v>1121.3893461302814</v>
      </c>
      <c r="G33">
        <f t="shared" si="2"/>
        <v>1608.1760861423459</v>
      </c>
      <c r="H33">
        <f t="shared" si="3"/>
        <v>0.91132036696816865</v>
      </c>
      <c r="I33">
        <f t="shared" si="4"/>
        <v>1465.5636209726758</v>
      </c>
    </row>
    <row r="34" spans="1:9" x14ac:dyDescent="0.3">
      <c r="A34">
        <v>32</v>
      </c>
      <c r="B34">
        <v>3.0000000000000001E-3</v>
      </c>
      <c r="C34">
        <f t="shared" si="5"/>
        <v>14572.941862066855</v>
      </c>
      <c r="D34">
        <f t="shared" si="0"/>
        <v>2833.8107850801421</v>
      </c>
      <c r="E34">
        <f t="shared" si="1"/>
        <v>94.460359502671395</v>
      </c>
      <c r="F34">
        <v>1119.025330122867</v>
      </c>
      <c r="G34">
        <f t="shared" si="2"/>
        <v>1620.3250954546038</v>
      </c>
      <c r="H34">
        <f t="shared" si="3"/>
        <v>0.90859458321851316</v>
      </c>
      <c r="I34">
        <f t="shared" si="4"/>
        <v>1472.2186047830733</v>
      </c>
    </row>
    <row r="35" spans="1:9" x14ac:dyDescent="0.3">
      <c r="A35">
        <v>33</v>
      </c>
      <c r="B35">
        <v>3.0000000000000001E-3</v>
      </c>
      <c r="C35">
        <f t="shared" si="5"/>
        <v>14651.042773470663</v>
      </c>
      <c r="D35">
        <f t="shared" si="0"/>
        <v>2842.9134043302788</v>
      </c>
      <c r="E35">
        <f t="shared" si="1"/>
        <v>94.763780144342633</v>
      </c>
      <c r="F35">
        <v>1117.6268869753537</v>
      </c>
      <c r="G35">
        <f t="shared" si="2"/>
        <v>1630.5227372105824</v>
      </c>
      <c r="H35">
        <f t="shared" si="3"/>
        <v>0.90587695236142907</v>
      </c>
      <c r="I35">
        <f t="shared" si="4"/>
        <v>1477.0529679403376</v>
      </c>
    </row>
    <row r="36" spans="1:9" x14ac:dyDescent="0.3">
      <c r="A36">
        <v>34</v>
      </c>
      <c r="B36">
        <v>3.0000000000000001E-3</v>
      </c>
      <c r="C36">
        <f t="shared" si="5"/>
        <v>14722.166605198112</v>
      </c>
      <c r="D36">
        <f t="shared" si="0"/>
        <v>2851.1859768141139</v>
      </c>
      <c r="E36">
        <f t="shared" si="1"/>
        <v>95.039532560470462</v>
      </c>
      <c r="F36">
        <v>1117.7911236257285</v>
      </c>
      <c r="G36">
        <f t="shared" si="2"/>
        <v>1638.355320627915</v>
      </c>
      <c r="H36">
        <f t="shared" si="3"/>
        <v>0.90316745001139487</v>
      </c>
      <c r="I36">
        <f t="shared" si="4"/>
        <v>1479.7091971441153</v>
      </c>
    </row>
    <row r="37" spans="1:9" x14ac:dyDescent="0.3">
      <c r="A37">
        <v>35</v>
      </c>
      <c r="B37">
        <v>3.0000000000000001E-3</v>
      </c>
      <c r="C37">
        <f t="shared" si="5"/>
        <v>14788.374399881119</v>
      </c>
      <c r="D37">
        <f t="shared" si="0"/>
        <v>2858.8723986612199</v>
      </c>
      <c r="E37">
        <f t="shared" si="1"/>
        <v>95.295746622040667</v>
      </c>
      <c r="F37">
        <v>1119.5641431063298</v>
      </c>
      <c r="G37">
        <f t="shared" si="2"/>
        <v>1644.0125089328494</v>
      </c>
      <c r="H37">
        <f t="shared" si="3"/>
        <v>0.90046605185582762</v>
      </c>
      <c r="I37">
        <f t="shared" si="4"/>
        <v>1480.3774531203564</v>
      </c>
    </row>
    <row r="38" spans="1:9" x14ac:dyDescent="0.3">
      <c r="A38">
        <v>36</v>
      </c>
      <c r="B38">
        <v>3.0000000000000001E-3</v>
      </c>
      <c r="C38">
        <f t="shared" si="5"/>
        <v>14851.626085853084</v>
      </c>
      <c r="D38">
        <f t="shared" si="0"/>
        <v>2866.2027833463999</v>
      </c>
      <c r="E38">
        <f t="shared" si="1"/>
        <v>95.540092778213335</v>
      </c>
      <c r="F38">
        <v>1122.2014904842238</v>
      </c>
      <c r="G38">
        <f t="shared" si="2"/>
        <v>1648.4612000839627</v>
      </c>
      <c r="H38">
        <f t="shared" si="3"/>
        <v>0.89777273365486299</v>
      </c>
      <c r="I38">
        <f t="shared" si="4"/>
        <v>1479.9435179233553</v>
      </c>
    </row>
    <row r="39" spans="1:9" x14ac:dyDescent="0.3">
      <c r="A39">
        <v>37</v>
      </c>
      <c r="B39">
        <v>3.0000000000000001E-3</v>
      </c>
      <c r="C39">
        <f t="shared" si="5"/>
        <v>14912.997141633516</v>
      </c>
      <c r="D39">
        <f t="shared" si="0"/>
        <v>2873.3032904991387</v>
      </c>
      <c r="E39">
        <f t="shared" si="1"/>
        <v>95.776776349971286</v>
      </c>
      <c r="F39">
        <v>1124.253154110047</v>
      </c>
      <c r="G39">
        <f t="shared" si="2"/>
        <v>1653.2733600391205</v>
      </c>
      <c r="H39">
        <f t="shared" si="3"/>
        <v>0.89508747124113963</v>
      </c>
      <c r="I39">
        <f t="shared" si="4"/>
        <v>1479.8242711077585</v>
      </c>
    </row>
    <row r="40" spans="1:9" x14ac:dyDescent="0.3">
      <c r="A40">
        <v>38</v>
      </c>
      <c r="B40">
        <v>3.0000000000000001E-3</v>
      </c>
      <c r="C40">
        <f t="shared" si="5"/>
        <v>14972.036214198311</v>
      </c>
      <c r="D40">
        <f t="shared" si="0"/>
        <v>2880.1229696858086</v>
      </c>
      <c r="E40">
        <f t="shared" si="1"/>
        <v>96.004098989526952</v>
      </c>
      <c r="F40">
        <v>1124.1728865068771</v>
      </c>
      <c r="G40">
        <f t="shared" si="2"/>
        <v>1659.9459841894045</v>
      </c>
      <c r="H40">
        <f t="shared" si="3"/>
        <v>0.89241024051958118</v>
      </c>
      <c r="I40">
        <f t="shared" si="4"/>
        <v>1481.3527949999793</v>
      </c>
    </row>
    <row r="41" spans="1:9" x14ac:dyDescent="0.3">
      <c r="A41">
        <v>39</v>
      </c>
      <c r="B41">
        <v>3.0000000000000001E-3</v>
      </c>
      <c r="C41">
        <f t="shared" si="5"/>
        <v>15026.777942548168</v>
      </c>
      <c r="D41">
        <f t="shared" si="0"/>
        <v>2886.4366525457272</v>
      </c>
      <c r="E41">
        <f t="shared" si="1"/>
        <v>96.214555084857565</v>
      </c>
      <c r="F41">
        <v>1121.4494746196574</v>
      </c>
      <c r="G41">
        <f t="shared" si="2"/>
        <v>1668.7726228412123</v>
      </c>
      <c r="H41">
        <f t="shared" si="3"/>
        <v>0.88974101746717971</v>
      </c>
      <c r="I41">
        <f t="shared" si="4"/>
        <v>1484.7754513681143</v>
      </c>
    </row>
    <row r="42" spans="1:9" x14ac:dyDescent="0.3">
      <c r="A42">
        <v>40</v>
      </c>
      <c r="B42">
        <v>3.0000000000000001E-3</v>
      </c>
      <c r="C42">
        <f t="shared" si="5"/>
        <v>15074.886135557243</v>
      </c>
      <c r="D42">
        <f t="shared" si="0"/>
        <v>2891.9776596163797</v>
      </c>
      <c r="E42">
        <f t="shared" si="1"/>
        <v>96.39925532054599</v>
      </c>
      <c r="F42">
        <v>1117.7630273185971</v>
      </c>
      <c r="G42">
        <f t="shared" si="2"/>
        <v>1677.8153769772366</v>
      </c>
      <c r="H42">
        <f t="shared" si="3"/>
        <v>0.88707977813278149</v>
      </c>
      <c r="I42">
        <f t="shared" si="4"/>
        <v>1488.3560923567361</v>
      </c>
    </row>
    <row r="43" spans="1:9" x14ac:dyDescent="0.3">
      <c r="A43">
        <v>41</v>
      </c>
      <c r="B43">
        <v>3.0000000000000001E-3</v>
      </c>
      <c r="C43">
        <f t="shared" si="5"/>
        <v>15115.871581764608</v>
      </c>
      <c r="D43">
        <f t="shared" si="0"/>
        <v>2896.6927051945349</v>
      </c>
      <c r="E43">
        <f t="shared" si="1"/>
        <v>96.556423506484492</v>
      </c>
      <c r="F43">
        <v>1117.1856249188106</v>
      </c>
      <c r="G43">
        <f t="shared" si="2"/>
        <v>1682.9506567692399</v>
      </c>
      <c r="H43">
        <f t="shared" si="3"/>
        <v>0.88442649863687106</v>
      </c>
      <c r="I43">
        <f t="shared" si="4"/>
        <v>1488.4461567450414</v>
      </c>
    </row>
    <row r="44" spans="1:9" x14ac:dyDescent="0.3">
      <c r="A44">
        <v>42</v>
      </c>
      <c r="B44">
        <v>3.0000000000000001E-3</v>
      </c>
      <c r="C44">
        <f t="shared" si="5"/>
        <v>15153.352093700234</v>
      </c>
      <c r="D44">
        <f t="shared" si="0"/>
        <v>2901.000061729801</v>
      </c>
      <c r="E44">
        <f t="shared" si="1"/>
        <v>96.700002057660029</v>
      </c>
      <c r="F44">
        <v>1123.6835610471464</v>
      </c>
      <c r="G44">
        <f t="shared" si="2"/>
        <v>1680.6164986249946</v>
      </c>
      <c r="H44">
        <f t="shared" si="3"/>
        <v>0.88178115517135724</v>
      </c>
      <c r="I44">
        <f t="shared" si="4"/>
        <v>1481.9359575575895</v>
      </c>
    </row>
    <row r="45" spans="1:9" x14ac:dyDescent="0.3">
      <c r="A45">
        <v>43</v>
      </c>
      <c r="B45">
        <v>3.0000000000000001E-3</v>
      </c>
      <c r="C45">
        <f t="shared" si="5"/>
        <v>15194.653362340221</v>
      </c>
      <c r="D45">
        <f t="shared" si="0"/>
        <v>2905.7415771112073</v>
      </c>
      <c r="E45">
        <f t="shared" si="1"/>
        <v>96.858052570373573</v>
      </c>
      <c r="F45">
        <v>1135.0207960880061</v>
      </c>
      <c r="G45">
        <f t="shared" si="2"/>
        <v>1673.8627284528277</v>
      </c>
      <c r="H45">
        <f t="shared" si="3"/>
        <v>0.87914372399935892</v>
      </c>
      <c r="I45">
        <f t="shared" si="4"/>
        <v>1471.5659125557465</v>
      </c>
    </row>
    <row r="46" spans="1:9" x14ac:dyDescent="0.3">
      <c r="A46">
        <v>44</v>
      </c>
      <c r="B46">
        <v>3.0000000000000001E-3</v>
      </c>
      <c r="C46">
        <f t="shared" si="5"/>
        <v>15244.341775403926</v>
      </c>
      <c r="D46">
        <f t="shared" si="0"/>
        <v>2911.439136597171</v>
      </c>
      <c r="E46">
        <f t="shared" si="1"/>
        <v>97.047971219905705</v>
      </c>
      <c r="F46">
        <v>1136.9316543141445</v>
      </c>
      <c r="G46">
        <f t="shared" si="2"/>
        <v>1677.4595110631208</v>
      </c>
      <c r="H46">
        <f t="shared" si="3"/>
        <v>0.87651418145499405</v>
      </c>
      <c r="I46">
        <f t="shared" si="4"/>
        <v>1470.3170502633859</v>
      </c>
    </row>
    <row r="47" spans="1:9" x14ac:dyDescent="0.3">
      <c r="A47">
        <v>45</v>
      </c>
      <c r="B47">
        <v>3.0000000000000001E-3</v>
      </c>
      <c r="C47">
        <f t="shared" si="5"/>
        <v>15292.391874332076</v>
      </c>
      <c r="D47">
        <f t="shared" si="0"/>
        <v>2916.9417767409773</v>
      </c>
      <c r="E47">
        <f t="shared" si="1"/>
        <v>97.231392558032582</v>
      </c>
      <c r="F47">
        <v>1112.521045924359</v>
      </c>
      <c r="G47">
        <f t="shared" si="2"/>
        <v>1707.1893382585856</v>
      </c>
      <c r="H47">
        <f t="shared" si="3"/>
        <v>0.87389250394316476</v>
      </c>
      <c r="I47">
        <f t="shared" si="4"/>
        <v>1491.8999655158698</v>
      </c>
    </row>
    <row r="48" spans="1:9" x14ac:dyDescent="0.3">
      <c r="A48">
        <v>46</v>
      </c>
      <c r="B48">
        <v>3.0000000000000001E-3</v>
      </c>
      <c r="C48">
        <f t="shared" si="5"/>
        <v>15312.599214947</v>
      </c>
      <c r="D48">
        <f t="shared" si="0"/>
        <v>2919.2538310689729</v>
      </c>
      <c r="E48">
        <f t="shared" si="1"/>
        <v>97.308461035632433</v>
      </c>
      <c r="F48">
        <v>1083.9157398485061</v>
      </c>
      <c r="G48">
        <f t="shared" si="2"/>
        <v>1738.0296301848343</v>
      </c>
      <c r="H48">
        <f t="shared" si="3"/>
        <v>0.87127866793934705</v>
      </c>
      <c r="I48">
        <f t="shared" si="4"/>
        <v>1514.3081410265584</v>
      </c>
    </row>
    <row r="49" spans="1:9" x14ac:dyDescent="0.3">
      <c r="A49">
        <v>47</v>
      </c>
      <c r="B49">
        <v>3.0000000000000001E-3</v>
      </c>
      <c r="C49">
        <f t="shared" si="5"/>
        <v>15302.757868013578</v>
      </c>
      <c r="D49">
        <f t="shared" si="0"/>
        <v>2918.1279705943703</v>
      </c>
      <c r="E49">
        <f t="shared" si="1"/>
        <v>97.270932353145668</v>
      </c>
      <c r="F49">
        <v>1134.1235499076777</v>
      </c>
      <c r="G49">
        <f t="shared" si="2"/>
        <v>1686.733488333547</v>
      </c>
      <c r="H49">
        <f t="shared" si="3"/>
        <v>0.86867264998937888</v>
      </c>
      <c r="I49">
        <f t="shared" si="4"/>
        <v>1465.2192491365313</v>
      </c>
    </row>
    <row r="50" spans="1:9" x14ac:dyDescent="0.3">
      <c r="A50">
        <v>48</v>
      </c>
      <c r="B50">
        <v>3.0000000000000001E-3</v>
      </c>
      <c r="C50">
        <f t="shared" si="5"/>
        <v>15343.827284491714</v>
      </c>
      <c r="D50">
        <f t="shared" si="0"/>
        <v>2922.8244403231106</v>
      </c>
      <c r="E50">
        <f t="shared" si="1"/>
        <v>97.427481344103683</v>
      </c>
      <c r="F50">
        <v>1192.9203495737618</v>
      </c>
      <c r="G50">
        <f t="shared" si="2"/>
        <v>1632.4766094052452</v>
      </c>
      <c r="H50">
        <f t="shared" si="3"/>
        <v>0.86607442670925128</v>
      </c>
      <c r="I50">
        <f t="shared" si="4"/>
        <v>1413.8462436069101</v>
      </c>
    </row>
    <row r="51" spans="1:9" x14ac:dyDescent="0.3">
      <c r="A51">
        <v>49</v>
      </c>
      <c r="B51">
        <v>3.0000000000000001E-3</v>
      </c>
      <c r="C51">
        <f t="shared" si="5"/>
        <v>15440.759970887497</v>
      </c>
      <c r="D51">
        <f t="shared" si="0"/>
        <v>2933.8892277510849</v>
      </c>
      <c r="E51">
        <f t="shared" si="1"/>
        <v>97.796307591702828</v>
      </c>
      <c r="F51">
        <v>719.41458338387827</v>
      </c>
      <c r="G51">
        <f t="shared" si="2"/>
        <v>2116.6783367755038</v>
      </c>
      <c r="H51">
        <f t="shared" si="3"/>
        <v>0.86348397478489658</v>
      </c>
      <c r="I51">
        <f t="shared" si="4"/>
        <v>1827.7178235799959</v>
      </c>
    </row>
    <row r="52" spans="1:9" x14ac:dyDescent="0.3">
      <c r="A52">
        <v>50</v>
      </c>
      <c r="B52">
        <v>3.0000000000000001E-3</v>
      </c>
      <c r="C52">
        <f t="shared" si="5"/>
        <v>15057.26312777941</v>
      </c>
      <c r="D52">
        <f t="shared" si="0"/>
        <v>2889.9486983287779</v>
      </c>
      <c r="E52">
        <f t="shared" si="1"/>
        <v>96.331623277625937</v>
      </c>
      <c r="F52">
        <v>0</v>
      </c>
      <c r="G52">
        <f t="shared" si="2"/>
        <v>2793.6170750511519</v>
      </c>
      <c r="H52">
        <f t="shared" si="3"/>
        <v>0.86090127097198077</v>
      </c>
      <c r="I52">
        <f t="shared" si="4"/>
        <v>2405.028490520564</v>
      </c>
    </row>
    <row r="53" spans="1:9" x14ac:dyDescent="0.3">
      <c r="A53">
        <v>51</v>
      </c>
      <c r="B53">
        <v>3.0000000000000001E-3</v>
      </c>
      <c r="C53">
        <f t="shared" si="5"/>
        <v>13981.744332938024</v>
      </c>
      <c r="D53">
        <f t="shared" si="0"/>
        <v>2764.2627619935561</v>
      </c>
      <c r="E53">
        <f t="shared" si="1"/>
        <v>92.142092066451866</v>
      </c>
      <c r="F53">
        <v>0</v>
      </c>
      <c r="G53">
        <f t="shared" si="2"/>
        <v>2672.1206699271042</v>
      </c>
      <c r="H53">
        <f t="shared" si="3"/>
        <v>0.85832629209569378</v>
      </c>
      <c r="I53">
        <f t="shared" si="4"/>
        <v>2293.5514266507926</v>
      </c>
    </row>
    <row r="54" spans="1:9" x14ac:dyDescent="0.3">
      <c r="A54">
        <v>52</v>
      </c>
      <c r="B54">
        <v>3.0000000000000001E-3</v>
      </c>
      <c r="C54">
        <f t="shared" si="5"/>
        <v>12983.048309156737</v>
      </c>
      <c r="D54">
        <f t="shared" si="0"/>
        <v>2644.042996944208</v>
      </c>
      <c r="E54">
        <f t="shared" si="1"/>
        <v>88.134766564806938</v>
      </c>
      <c r="F54">
        <v>0</v>
      </c>
      <c r="G54">
        <f t="shared" si="2"/>
        <v>2555.9082303794012</v>
      </c>
      <c r="H54">
        <f t="shared" si="3"/>
        <v>0.8557590150505423</v>
      </c>
      <c r="I54">
        <f t="shared" si="4"/>
        <v>2187.2415097890507</v>
      </c>
    </row>
    <row r="55" spans="1:9" x14ac:dyDescent="0.3">
      <c r="A55">
        <v>53</v>
      </c>
      <c r="B55">
        <v>3.0000000000000001E-3</v>
      </c>
      <c r="C55">
        <f t="shared" si="5"/>
        <v>12055.687715645541</v>
      </c>
      <c r="D55">
        <f t="shared" si="0"/>
        <v>2529.0516754810642</v>
      </c>
      <c r="E55">
        <f t="shared" si="1"/>
        <v>84.301722516035468</v>
      </c>
      <c r="F55">
        <v>0</v>
      </c>
      <c r="G55">
        <f t="shared" si="2"/>
        <v>2444.7499529650286</v>
      </c>
      <c r="H55">
        <f t="shared" si="3"/>
        <v>0.853199416800142</v>
      </c>
      <c r="I55">
        <f t="shared" si="4"/>
        <v>2085.8592340919367</v>
      </c>
    </row>
    <row r="56" spans="1:9" x14ac:dyDescent="0.3">
      <c r="A56">
        <v>54</v>
      </c>
      <c r="B56">
        <v>3.0000000000000001E-3</v>
      </c>
      <c r="C56">
        <f t="shared" si="5"/>
        <v>11194.567164528004</v>
      </c>
      <c r="D56">
        <f t="shared" si="0"/>
        <v>2419.0614088521706</v>
      </c>
      <c r="E56">
        <f t="shared" si="1"/>
        <v>80.635380295072352</v>
      </c>
      <c r="F56">
        <v>2.8421709430404007E-14</v>
      </c>
      <c r="G56">
        <f t="shared" si="2"/>
        <v>2338.4260285570981</v>
      </c>
      <c r="H56">
        <f t="shared" si="3"/>
        <v>0.85064747437701116</v>
      </c>
      <c r="I56">
        <f t="shared" si="4"/>
        <v>1989.1761952095601</v>
      </c>
    </row>
    <row r="57" spans="1:9" x14ac:dyDescent="0.3">
      <c r="A57">
        <v>55</v>
      </c>
      <c r="B57">
        <v>3.0000000000000001E-3</v>
      </c>
      <c r="C57">
        <f t="shared" si="5"/>
        <v>10394.955224204576</v>
      </c>
      <c r="D57">
        <f t="shared" si="0"/>
        <v>2313.8546976050743</v>
      </c>
      <c r="E57">
        <f t="shared" si="1"/>
        <v>77.128489920169145</v>
      </c>
      <c r="F57">
        <v>0</v>
      </c>
      <c r="G57">
        <f t="shared" si="2"/>
        <v>2236.7262076849051</v>
      </c>
      <c r="H57">
        <f t="shared" si="3"/>
        <v>0.84810316488236415</v>
      </c>
      <c r="I57">
        <f t="shared" si="4"/>
        <v>1896.9745757128962</v>
      </c>
    </row>
    <row r="58" spans="1:9" x14ac:dyDescent="0.3">
      <c r="A58">
        <v>56</v>
      </c>
      <c r="B58">
        <v>3.0000000000000001E-3</v>
      </c>
      <c r="C58">
        <f t="shared" si="5"/>
        <v>9652.4584224756782</v>
      </c>
      <c r="D58">
        <f t="shared" si="0"/>
        <v>2213.2235014941111</v>
      </c>
      <c r="E58">
        <f t="shared" si="1"/>
        <v>73.774116716470374</v>
      </c>
      <c r="F58">
        <v>0</v>
      </c>
      <c r="G58">
        <f t="shared" si="2"/>
        <v>2139.4493847776407</v>
      </c>
      <c r="H58">
        <f t="shared" si="3"/>
        <v>0.84556646548590664</v>
      </c>
      <c r="I58">
        <f t="shared" si="4"/>
        <v>1809.0466543724272</v>
      </c>
    </row>
    <row r="59" spans="1:9" x14ac:dyDescent="0.3">
      <c r="A59">
        <v>57</v>
      </c>
      <c r="B59">
        <v>3.0000000000000001E-3</v>
      </c>
      <c r="C59">
        <f t="shared" si="5"/>
        <v>8962.9971065845584</v>
      </c>
      <c r="D59">
        <f t="shared" si="0"/>
        <v>2116.9688280927203</v>
      </c>
      <c r="E59">
        <f t="shared" si="1"/>
        <v>70.565627603090675</v>
      </c>
      <c r="F59">
        <v>0</v>
      </c>
      <c r="G59">
        <f t="shared" si="2"/>
        <v>2046.4032004896296</v>
      </c>
      <c r="H59">
        <f t="shared" si="3"/>
        <v>0.84303735342562969</v>
      </c>
      <c r="I59">
        <f t="shared" si="4"/>
        <v>1725.1943381825156</v>
      </c>
    </row>
    <row r="60" spans="1:9" x14ac:dyDescent="0.3">
      <c r="A60">
        <v>58</v>
      </c>
      <c r="B60">
        <v>3.0000000000000001E-3</v>
      </c>
      <c r="C60">
        <f t="shared" si="5"/>
        <v>8322.7830275428041</v>
      </c>
      <c r="D60">
        <f t="shared" si="0"/>
        <v>2024.9003392973384</v>
      </c>
      <c r="E60">
        <f t="shared" si="1"/>
        <v>67.496677976577942</v>
      </c>
      <c r="F60">
        <v>0</v>
      </c>
      <c r="G60">
        <f t="shared" si="2"/>
        <v>1957.4036613207604</v>
      </c>
      <c r="H60">
        <f t="shared" si="3"/>
        <v>0.84051580600760711</v>
      </c>
      <c r="I60">
        <f t="shared" si="4"/>
        <v>1645.2287160772601</v>
      </c>
    </row>
    <row r="61" spans="1:9" x14ac:dyDescent="0.3">
      <c r="A61">
        <v>59</v>
      </c>
      <c r="B61">
        <v>3.0000000000000001E-3</v>
      </c>
      <c r="C61">
        <f t="shared" si="5"/>
        <v>7728.2985255754611</v>
      </c>
      <c r="D61">
        <f t="shared" si="0"/>
        <v>1936.8359749446859</v>
      </c>
      <c r="E61">
        <f t="shared" si="1"/>
        <v>64.561199164822867</v>
      </c>
      <c r="F61">
        <v>0</v>
      </c>
      <c r="G61">
        <f t="shared" si="2"/>
        <v>1872.2747757798629</v>
      </c>
      <c r="H61">
        <f t="shared" si="3"/>
        <v>0.83800180060578966</v>
      </c>
      <c r="I61">
        <f t="shared" si="4"/>
        <v>1568.9696333323263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3F3B-8D0A-4B48-AFC3-67D97289FB0A}">
  <dimension ref="A1:L61"/>
  <sheetViews>
    <sheetView tabSelected="1" topLeftCell="E1" workbookViewId="0">
      <selection activeCell="N5" sqref="N5"/>
    </sheetView>
  </sheetViews>
  <sheetFormatPr defaultRowHeight="14.4" x14ac:dyDescent="0.3"/>
  <cols>
    <col min="1" max="1" width="4.88671875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0</v>
      </c>
    </row>
    <row r="2" spans="1:12" x14ac:dyDescent="0.3">
      <c r="A2">
        <v>0</v>
      </c>
      <c r="B2">
        <v>3.0000000000000001E-3</v>
      </c>
      <c r="C2">
        <f>L10</f>
        <v>1020</v>
      </c>
      <c r="D2">
        <f>$L$2*(C2^0.6)</f>
        <v>574.64894338537442</v>
      </c>
      <c r="E2">
        <f>$L$9*D2</f>
        <v>38.309929559024958</v>
      </c>
      <c r="F2">
        <v>547.28470798607088</v>
      </c>
      <c r="G2">
        <f>D2 - F2 - E2</f>
        <v>-10.94569415972142</v>
      </c>
      <c r="H2">
        <f>1/(1+B2)^A2</f>
        <v>1</v>
      </c>
      <c r="I2">
        <f>G2*H2</f>
        <v>-10.94569415972142</v>
      </c>
      <c r="J2">
        <f>SUM(I2:I61)</f>
        <v>30242.36463602959</v>
      </c>
      <c r="K2" t="s">
        <v>1</v>
      </c>
      <c r="L2">
        <v>9</v>
      </c>
    </row>
    <row r="3" spans="1:12" x14ac:dyDescent="0.3">
      <c r="A3">
        <v>1</v>
      </c>
      <c r="B3">
        <v>3.0000000000000001E-3</v>
      </c>
      <c r="C3">
        <f>(1-$L$8)*C2+F2</f>
        <v>1421.5704222717852</v>
      </c>
      <c r="D3">
        <f t="shared" ref="D3:D61" si="0">$L$2*(C3^0.6)</f>
        <v>701.299512037103</v>
      </c>
      <c r="E3">
        <f t="shared" ref="E3:E61" si="1">$L$9*D3</f>
        <v>46.753300802473532</v>
      </c>
      <c r="F3">
        <v>625.94220359307747</v>
      </c>
      <c r="G3">
        <f t="shared" ref="G3:G61" si="2">D3 - F3 - E3</f>
        <v>28.604007641552002</v>
      </c>
      <c r="H3">
        <f t="shared" ref="H3:H61" si="3">1/(1+B3)^A3</f>
        <v>0.99700897308075787</v>
      </c>
      <c r="I3">
        <f t="shared" ref="I3:I61" si="4">G3*H3</f>
        <v>28.518452284697911</v>
      </c>
      <c r="K3" t="s">
        <v>2</v>
      </c>
      <c r="L3">
        <v>10</v>
      </c>
    </row>
    <row r="4" spans="1:12" x14ac:dyDescent="0.3">
      <c r="A4">
        <v>2</v>
      </c>
      <c r="B4">
        <v>3.0000000000000001E-3</v>
      </c>
      <c r="C4">
        <f t="shared" ref="C4:C61" si="5">(1-$L$8)*C3+F3</f>
        <v>1844.4311369688935</v>
      </c>
      <c r="D4">
        <f t="shared" si="0"/>
        <v>819.89828229956663</v>
      </c>
      <c r="E4">
        <f t="shared" si="1"/>
        <v>54.659885486637776</v>
      </c>
      <c r="F4">
        <v>254.30941468571888</v>
      </c>
      <c r="G4">
        <f t="shared" si="2"/>
        <v>510.92898212720991</v>
      </c>
      <c r="H4">
        <f t="shared" si="3"/>
        <v>0.99402689240354736</v>
      </c>
      <c r="I4">
        <f t="shared" si="4"/>
        <v>507.87714834281803</v>
      </c>
      <c r="K4" t="s">
        <v>3</v>
      </c>
      <c r="L4">
        <v>20</v>
      </c>
    </row>
    <row r="5" spans="1:12" x14ac:dyDescent="0.3">
      <c r="A5">
        <v>3</v>
      </c>
      <c r="B5">
        <v>3.0000000000000001E-3</v>
      </c>
      <c r="C5">
        <f t="shared" si="5"/>
        <v>1835.2503892304849</v>
      </c>
      <c r="D5">
        <f t="shared" si="0"/>
        <v>817.44718827177576</v>
      </c>
      <c r="E5">
        <f t="shared" si="1"/>
        <v>54.496479218118381</v>
      </c>
      <c r="F5">
        <v>360.50730767895567</v>
      </c>
      <c r="G5">
        <f t="shared" si="2"/>
        <v>402.44340137470169</v>
      </c>
      <c r="H5">
        <f t="shared" si="3"/>
        <v>0.99105373120991769</v>
      </c>
      <c r="I5">
        <f t="shared" si="4"/>
        <v>398.84303453320865</v>
      </c>
      <c r="K5" t="s">
        <v>4</v>
      </c>
      <c r="L5">
        <v>9</v>
      </c>
    </row>
    <row r="6" spans="1:12" x14ac:dyDescent="0.3">
      <c r="A6">
        <v>4</v>
      </c>
      <c r="B6">
        <v>3.0000000000000001E-3</v>
      </c>
      <c r="C6">
        <f t="shared" si="5"/>
        <v>1933.5790698765143</v>
      </c>
      <c r="D6">
        <f t="shared" si="0"/>
        <v>843.45063838103056</v>
      </c>
      <c r="E6">
        <f t="shared" si="1"/>
        <v>56.23004255873537</v>
      </c>
      <c r="F6">
        <v>393.95324932832534</v>
      </c>
      <c r="G6">
        <f t="shared" si="2"/>
        <v>393.26734649396985</v>
      </c>
      <c r="H6">
        <f t="shared" si="3"/>
        <v>0.98808946282145349</v>
      </c>
      <c r="I6">
        <f t="shared" si="4"/>
        <v>388.58332114244507</v>
      </c>
      <c r="K6" t="s">
        <v>5</v>
      </c>
      <c r="L6">
        <v>10</v>
      </c>
    </row>
    <row r="7" spans="1:12" x14ac:dyDescent="0.3">
      <c r="A7">
        <v>5</v>
      </c>
      <c r="B7">
        <v>3.0000000000000001E-3</v>
      </c>
      <c r="C7">
        <f t="shared" si="5"/>
        <v>2051.3067377939092</v>
      </c>
      <c r="D7">
        <f t="shared" si="0"/>
        <v>873.89825742749588</v>
      </c>
      <c r="E7">
        <f t="shared" si="1"/>
        <v>58.259883828499724</v>
      </c>
      <c r="F7">
        <v>390.89869259253175</v>
      </c>
      <c r="G7">
        <f t="shared" si="2"/>
        <v>424.73968100646442</v>
      </c>
      <c r="H7">
        <f t="shared" si="3"/>
        <v>0.9851340606395349</v>
      </c>
      <c r="I7">
        <f t="shared" si="4"/>
        <v>418.42552666463905</v>
      </c>
      <c r="K7" t="s">
        <v>7</v>
      </c>
      <c r="L7" t="s">
        <v>6</v>
      </c>
    </row>
    <row r="8" spans="1:12" x14ac:dyDescent="0.3">
      <c r="A8">
        <v>6</v>
      </c>
      <c r="B8">
        <v>3.0000000000000001E-3</v>
      </c>
      <c r="C8">
        <f t="shared" si="5"/>
        <v>2149.1616107015971</v>
      </c>
      <c r="D8">
        <f t="shared" si="0"/>
        <v>898.67767711616682</v>
      </c>
      <c r="E8">
        <f t="shared" si="1"/>
        <v>59.911845141077784</v>
      </c>
      <c r="F8">
        <v>384.29644762467905</v>
      </c>
      <c r="G8">
        <f t="shared" si="2"/>
        <v>454.46938435041005</v>
      </c>
      <c r="H8">
        <f t="shared" si="3"/>
        <v>0.98218749814509987</v>
      </c>
      <c r="I8">
        <f t="shared" si="4"/>
        <v>446.37414759867306</v>
      </c>
      <c r="K8" s="1" t="s">
        <v>8</v>
      </c>
      <c r="L8">
        <f>2/(5+L5)</f>
        <v>0.14285714285714285</v>
      </c>
    </row>
    <row r="9" spans="1:12" x14ac:dyDescent="0.3">
      <c r="A9">
        <v>7</v>
      </c>
      <c r="B9">
        <v>3.0000000000000001E-3</v>
      </c>
      <c r="C9">
        <f t="shared" si="5"/>
        <v>2226.4349710831907</v>
      </c>
      <c r="D9">
        <f t="shared" si="0"/>
        <v>917.92779042936968</v>
      </c>
      <c r="E9">
        <f t="shared" si="1"/>
        <v>61.195186028624647</v>
      </c>
      <c r="F9">
        <v>363.99118209705091</v>
      </c>
      <c r="G9">
        <f t="shared" si="2"/>
        <v>492.74142230369409</v>
      </c>
      <c r="H9">
        <f t="shared" si="3"/>
        <v>0.97924974889840477</v>
      </c>
      <c r="I9">
        <f t="shared" si="4"/>
        <v>482.51691406273528</v>
      </c>
      <c r="K9" t="s">
        <v>9</v>
      </c>
      <c r="L9">
        <f>1/(5+L6)</f>
        <v>6.6666666666666666E-2</v>
      </c>
    </row>
    <row r="10" spans="1:12" x14ac:dyDescent="0.3">
      <c r="A10">
        <v>8</v>
      </c>
      <c r="B10">
        <v>3.0000000000000001E-3</v>
      </c>
      <c r="C10">
        <f t="shared" si="5"/>
        <v>2272.3640144540718</v>
      </c>
      <c r="D10">
        <f t="shared" si="0"/>
        <v>929.24289957310577</v>
      </c>
      <c r="E10">
        <f t="shared" si="1"/>
        <v>61.949526638207054</v>
      </c>
      <c r="F10">
        <v>45.278359245397731</v>
      </c>
      <c r="G10">
        <f t="shared" si="2"/>
        <v>822.01501368950096</v>
      </c>
      <c r="H10">
        <f t="shared" si="3"/>
        <v>0.97632078653878851</v>
      </c>
      <c r="I10">
        <f t="shared" si="4"/>
        <v>802.55034471202657</v>
      </c>
      <c r="K10" t="s">
        <v>10</v>
      </c>
      <c r="L10">
        <f>100*L2+10*L3+L4</f>
        <v>1020</v>
      </c>
    </row>
    <row r="11" spans="1:12" x14ac:dyDescent="0.3">
      <c r="A11">
        <v>9</v>
      </c>
      <c r="B11">
        <v>3.0000000000000001E-3</v>
      </c>
      <c r="C11">
        <f t="shared" si="5"/>
        <v>1993.0189430631738</v>
      </c>
      <c r="D11">
        <f t="shared" si="0"/>
        <v>858.91337450296624</v>
      </c>
      <c r="E11">
        <f t="shared" si="1"/>
        <v>57.260891633531081</v>
      </c>
      <c r="F11">
        <v>538.54091595561579</v>
      </c>
      <c r="G11">
        <f t="shared" si="2"/>
        <v>263.11156691381939</v>
      </c>
      <c r="H11">
        <f t="shared" si="3"/>
        <v>0.97340058478443536</v>
      </c>
      <c r="I11">
        <f t="shared" si="4"/>
        <v>256.11295309746089</v>
      </c>
    </row>
    <row r="12" spans="1:12" x14ac:dyDescent="0.3">
      <c r="A12">
        <v>10</v>
      </c>
      <c r="B12">
        <v>3.0000000000000001E-3</v>
      </c>
      <c r="C12">
        <f t="shared" si="5"/>
        <v>2246.8428671526221</v>
      </c>
      <c r="D12">
        <f t="shared" si="0"/>
        <v>922.96690794264612</v>
      </c>
      <c r="E12">
        <f t="shared" si="1"/>
        <v>61.531127196176406</v>
      </c>
      <c r="F12">
        <v>617.65143854739767</v>
      </c>
      <c r="G12">
        <f t="shared" si="2"/>
        <v>243.78434219907203</v>
      </c>
      <c r="H12">
        <f t="shared" si="3"/>
        <v>0.97048911743213906</v>
      </c>
      <c r="I12">
        <f t="shared" si="4"/>
        <v>236.59005110455197</v>
      </c>
    </row>
    <row r="13" spans="1:12" x14ac:dyDescent="0.3">
      <c r="A13">
        <v>11</v>
      </c>
      <c r="B13">
        <v>3.0000000000000001E-3</v>
      </c>
      <c r="C13">
        <f t="shared" si="5"/>
        <v>2543.5167532496453</v>
      </c>
      <c r="D13">
        <f t="shared" si="0"/>
        <v>994.26756239616486</v>
      </c>
      <c r="E13">
        <f t="shared" si="1"/>
        <v>66.28450415974433</v>
      </c>
      <c r="F13">
        <v>692.24181133288846</v>
      </c>
      <c r="G13">
        <f t="shared" si="2"/>
        <v>235.74124690353207</v>
      </c>
      <c r="H13">
        <f t="shared" si="3"/>
        <v>0.96758635835706785</v>
      </c>
      <c r="I13">
        <f t="shared" si="4"/>
        <v>228.10001460594299</v>
      </c>
    </row>
    <row r="14" spans="1:12" x14ac:dyDescent="0.3">
      <c r="A14">
        <v>12</v>
      </c>
      <c r="B14">
        <v>3.0000000000000001E-3</v>
      </c>
      <c r="C14">
        <f t="shared" si="5"/>
        <v>2872.3990284040133</v>
      </c>
      <c r="D14">
        <f t="shared" si="0"/>
        <v>1069.5211373833795</v>
      </c>
      <c r="E14">
        <f t="shared" si="1"/>
        <v>71.301409158891971</v>
      </c>
      <c r="F14">
        <v>78.026673163391891</v>
      </c>
      <c r="G14">
        <f t="shared" si="2"/>
        <v>920.19305506109561</v>
      </c>
      <c r="H14">
        <f t="shared" si="3"/>
        <v>0.96469228151253039</v>
      </c>
      <c r="I14">
        <f t="shared" si="4"/>
        <v>887.70313771887379</v>
      </c>
    </row>
    <row r="15" spans="1:12" x14ac:dyDescent="0.3">
      <c r="A15">
        <v>13</v>
      </c>
      <c r="B15">
        <v>3.0000000000000001E-3</v>
      </c>
      <c r="C15">
        <f t="shared" si="5"/>
        <v>2540.0829832239751</v>
      </c>
      <c r="D15">
        <f t="shared" si="0"/>
        <v>993.4619828285729</v>
      </c>
      <c r="E15">
        <f t="shared" si="1"/>
        <v>66.230798855238191</v>
      </c>
      <c r="F15">
        <v>383.28823986180424</v>
      </c>
      <c r="G15">
        <f t="shared" si="2"/>
        <v>543.94294411153055</v>
      </c>
      <c r="H15">
        <f t="shared" si="3"/>
        <v>0.96180686092974133</v>
      </c>
      <c r="I15">
        <f t="shared" si="4"/>
        <v>523.16805560079297</v>
      </c>
    </row>
    <row r="16" spans="1:12" x14ac:dyDescent="0.3">
      <c r="A16">
        <v>14</v>
      </c>
      <c r="B16">
        <v>3.0000000000000001E-3</v>
      </c>
      <c r="C16">
        <f t="shared" si="5"/>
        <v>2560.5022254823548</v>
      </c>
      <c r="D16">
        <f t="shared" si="0"/>
        <v>998.24605834757733</v>
      </c>
      <c r="E16">
        <f t="shared" si="1"/>
        <v>66.549737223171817</v>
      </c>
      <c r="F16">
        <v>382.27274898783708</v>
      </c>
      <c r="G16">
        <f t="shared" si="2"/>
        <v>549.4235721365684</v>
      </c>
      <c r="H16">
        <f t="shared" si="3"/>
        <v>0.95893007071758884</v>
      </c>
      <c r="I16">
        <f t="shared" si="4"/>
        <v>526.85878488282981</v>
      </c>
    </row>
    <row r="17" spans="1:9" x14ac:dyDescent="0.3">
      <c r="A17">
        <v>15</v>
      </c>
      <c r="B17">
        <v>3.0000000000000001E-3</v>
      </c>
      <c r="C17">
        <f t="shared" si="5"/>
        <v>2576.988942258427</v>
      </c>
      <c r="D17">
        <f t="shared" si="0"/>
        <v>1002.0976471685116</v>
      </c>
      <c r="E17">
        <f t="shared" si="1"/>
        <v>66.806509811234108</v>
      </c>
      <c r="F17">
        <v>381.05566244231142</v>
      </c>
      <c r="G17">
        <f t="shared" si="2"/>
        <v>554.23547491496595</v>
      </c>
      <c r="H17">
        <f t="shared" si="3"/>
        <v>0.95606188506240175</v>
      </c>
      <c r="I17">
        <f t="shared" si="4"/>
        <v>529.8834129156578</v>
      </c>
    </row>
    <row r="18" spans="1:9" x14ac:dyDescent="0.3">
      <c r="A18">
        <v>16</v>
      </c>
      <c r="B18">
        <v>3.0000000000000001E-3</v>
      </c>
      <c r="C18">
        <f t="shared" si="5"/>
        <v>2589.903327235249</v>
      </c>
      <c r="D18">
        <f t="shared" si="0"/>
        <v>1005.1077960568566</v>
      </c>
      <c r="E18">
        <f t="shared" si="1"/>
        <v>67.007186403790442</v>
      </c>
      <c r="F18">
        <v>382.4999743083136</v>
      </c>
      <c r="G18">
        <f t="shared" si="2"/>
        <v>555.60063534475262</v>
      </c>
      <c r="H18">
        <f t="shared" si="3"/>
        <v>0.95320227822771864</v>
      </c>
      <c r="I18">
        <f t="shared" si="4"/>
        <v>529.59979139538609</v>
      </c>
    </row>
    <row r="19" spans="1:9" x14ac:dyDescent="0.3">
      <c r="A19">
        <v>17</v>
      </c>
      <c r="B19">
        <v>3.0000000000000001E-3</v>
      </c>
      <c r="C19">
        <f t="shared" si="5"/>
        <v>2602.4171119385273</v>
      </c>
      <c r="D19">
        <f t="shared" si="0"/>
        <v>1008.0188488231889</v>
      </c>
      <c r="E19">
        <f t="shared" si="1"/>
        <v>67.201256588212601</v>
      </c>
      <c r="F19">
        <v>383.52006452403828</v>
      </c>
      <c r="G19">
        <f t="shared" si="2"/>
        <v>557.29752771093808</v>
      </c>
      <c r="H19">
        <f t="shared" si="3"/>
        <v>0.95035122455405663</v>
      </c>
      <c r="I19">
        <f t="shared" si="4"/>
        <v>529.62838790103831</v>
      </c>
    </row>
    <row r="20" spans="1:9" x14ac:dyDescent="0.3">
      <c r="A20">
        <v>18</v>
      </c>
      <c r="B20">
        <v>3.0000000000000001E-3</v>
      </c>
      <c r="C20">
        <f t="shared" si="5"/>
        <v>2614.1633033284907</v>
      </c>
      <c r="D20">
        <f t="shared" si="0"/>
        <v>1010.7462478038274</v>
      </c>
      <c r="E20">
        <f t="shared" si="1"/>
        <v>67.383083186921823</v>
      </c>
      <c r="F20">
        <v>384.03842942102881</v>
      </c>
      <c r="G20">
        <f t="shared" si="2"/>
        <v>559.32473519587677</v>
      </c>
      <c r="H20">
        <f t="shared" si="3"/>
        <v>0.94750869845868069</v>
      </c>
      <c r="I20">
        <f t="shared" si="4"/>
        <v>529.96505186119145</v>
      </c>
    </row>
    <row r="21" spans="1:9" x14ac:dyDescent="0.3">
      <c r="A21">
        <v>19</v>
      </c>
      <c r="B21">
        <v>3.0000000000000001E-3</v>
      </c>
      <c r="C21">
        <f t="shared" si="5"/>
        <v>2624.7498322740212</v>
      </c>
      <c r="D21">
        <f t="shared" si="0"/>
        <v>1013.2001826847488</v>
      </c>
      <c r="E21">
        <f t="shared" si="1"/>
        <v>67.546678845649922</v>
      </c>
      <c r="F21">
        <v>384.08756817240391</v>
      </c>
      <c r="G21">
        <f t="shared" si="2"/>
        <v>561.56593566669494</v>
      </c>
      <c r="H21">
        <f t="shared" si="3"/>
        <v>0.94467467443537456</v>
      </c>
      <c r="I21">
        <f t="shared" si="4"/>
        <v>530.49711744993158</v>
      </c>
    </row>
    <row r="22" spans="1:9" x14ac:dyDescent="0.3">
      <c r="A22">
        <v>20</v>
      </c>
      <c r="B22">
        <v>3.0000000000000001E-3</v>
      </c>
      <c r="C22">
        <f t="shared" si="5"/>
        <v>2633.8731386929935</v>
      </c>
      <c r="D22">
        <f t="shared" si="0"/>
        <v>1015.3117713782854</v>
      </c>
      <c r="E22">
        <f t="shared" si="1"/>
        <v>67.687451425219024</v>
      </c>
      <c r="F22">
        <v>383.69257859528489</v>
      </c>
      <c r="G22">
        <f t="shared" si="2"/>
        <v>563.93174135778145</v>
      </c>
      <c r="H22">
        <f t="shared" si="3"/>
        <v>0.94184912705421209</v>
      </c>
      <c r="I22">
        <f t="shared" si="4"/>
        <v>531.1386183159882</v>
      </c>
    </row>
    <row r="23" spans="1:9" x14ac:dyDescent="0.3">
      <c r="A23">
        <v>21</v>
      </c>
      <c r="B23">
        <v>3.0000000000000001E-3</v>
      </c>
      <c r="C23">
        <f t="shared" si="5"/>
        <v>2641.2981260464226</v>
      </c>
      <c r="D23">
        <f t="shared" si="0"/>
        <v>1017.0281256333774</v>
      </c>
      <c r="E23">
        <f t="shared" si="1"/>
        <v>67.801875042225163</v>
      </c>
      <c r="F23">
        <v>383.02822529773948</v>
      </c>
      <c r="G23">
        <f t="shared" si="2"/>
        <v>566.19802529341268</v>
      </c>
      <c r="H23">
        <f t="shared" si="3"/>
        <v>0.93903203096132815</v>
      </c>
      <c r="I23">
        <f t="shared" si="4"/>
        <v>531.6780816175667</v>
      </c>
    </row>
    <row r="24" spans="1:9" x14ac:dyDescent="0.3">
      <c r="A24">
        <v>22</v>
      </c>
      <c r="B24">
        <v>3.0000000000000001E-3</v>
      </c>
      <c r="C24">
        <f t="shared" si="5"/>
        <v>2646.9980476232449</v>
      </c>
      <c r="D24">
        <f t="shared" si="0"/>
        <v>1018.3444059214419</v>
      </c>
      <c r="E24">
        <f t="shared" si="1"/>
        <v>67.889627061429451</v>
      </c>
      <c r="F24">
        <v>382.3397811869724</v>
      </c>
      <c r="G24">
        <f t="shared" si="2"/>
        <v>568.11499767303997</v>
      </c>
      <c r="H24">
        <f t="shared" si="3"/>
        <v>0.9362233608786924</v>
      </c>
      <c r="I24">
        <f t="shared" si="4"/>
        <v>531.88253248704405</v>
      </c>
    </row>
    <row r="25" spans="1:9" x14ac:dyDescent="0.3">
      <c r="A25">
        <v>23</v>
      </c>
      <c r="B25">
        <v>3.0000000000000001E-3</v>
      </c>
      <c r="C25">
        <f t="shared" si="5"/>
        <v>2651.1952505783252</v>
      </c>
      <c r="D25">
        <f t="shared" si="0"/>
        <v>1019.3129393925539</v>
      </c>
      <c r="E25">
        <f t="shared" si="1"/>
        <v>67.954195959503593</v>
      </c>
      <c r="F25">
        <v>381.82902567667458</v>
      </c>
      <c r="G25">
        <f t="shared" si="2"/>
        <v>569.52971775637559</v>
      </c>
      <c r="H25">
        <f t="shared" si="3"/>
        <v>0.93342309160388093</v>
      </c>
      <c r="I25">
        <f t="shared" si="4"/>
        <v>531.61218990844179</v>
      </c>
    </row>
    <row r="26" spans="1:9" x14ac:dyDescent="0.3">
      <c r="A26">
        <v>24</v>
      </c>
      <c r="B26">
        <v>3.0000000000000001E-3</v>
      </c>
      <c r="C26">
        <f t="shared" si="5"/>
        <v>2654.2820976009534</v>
      </c>
      <c r="D26">
        <f t="shared" si="0"/>
        <v>1020.0248592278442</v>
      </c>
      <c r="E26">
        <f t="shared" si="1"/>
        <v>68.001657281856282</v>
      </c>
      <c r="F26">
        <v>381.60681550522969</v>
      </c>
      <c r="G26">
        <f t="shared" si="2"/>
        <v>570.41638644075829</v>
      </c>
      <c r="H26">
        <f t="shared" si="3"/>
        <v>0.93063119800985139</v>
      </c>
      <c r="I26">
        <f t="shared" si="4"/>
        <v>530.84728507781324</v>
      </c>
    </row>
    <row r="27" spans="1:9" x14ac:dyDescent="0.3">
      <c r="A27">
        <v>25</v>
      </c>
      <c r="B27">
        <v>3.0000000000000001E-3</v>
      </c>
      <c r="C27">
        <f t="shared" si="5"/>
        <v>2656.7057563060471</v>
      </c>
      <c r="D27">
        <f t="shared" si="0"/>
        <v>1020.5835958096076</v>
      </c>
      <c r="E27">
        <f t="shared" si="1"/>
        <v>68.038906387307165</v>
      </c>
      <c r="F27">
        <v>381.69624794569734</v>
      </c>
      <c r="G27">
        <f t="shared" si="2"/>
        <v>570.84844147660306</v>
      </c>
      <c r="H27">
        <f t="shared" si="3"/>
        <v>0.92784765504471733</v>
      </c>
      <c r="I27">
        <f t="shared" si="4"/>
        <v>529.6603878099977</v>
      </c>
    </row>
    <row r="28" spans="1:9" x14ac:dyDescent="0.3">
      <c r="A28">
        <v>26</v>
      </c>
      <c r="B28">
        <v>3.0000000000000001E-3</v>
      </c>
      <c r="C28">
        <f t="shared" si="5"/>
        <v>2658.8726104937382</v>
      </c>
      <c r="D28">
        <f t="shared" si="0"/>
        <v>1021.0829575240838</v>
      </c>
      <c r="E28">
        <f t="shared" si="1"/>
        <v>68.072197168272254</v>
      </c>
      <c r="F28">
        <v>382.05382973073449</v>
      </c>
      <c r="G28">
        <f t="shared" si="2"/>
        <v>570.95693062507701</v>
      </c>
      <c r="H28">
        <f t="shared" si="3"/>
        <v>0.92507243773152303</v>
      </c>
      <c r="I28">
        <f t="shared" si="4"/>
        <v>528.1765196530481</v>
      </c>
    </row>
    <row r="29" spans="1:9" x14ac:dyDescent="0.3">
      <c r="A29">
        <v>27</v>
      </c>
      <c r="B29">
        <v>3.0000000000000001E-3</v>
      </c>
      <c r="C29">
        <f t="shared" si="5"/>
        <v>2661.0874958682243</v>
      </c>
      <c r="D29">
        <f t="shared" si="0"/>
        <v>1021.5932200449314</v>
      </c>
      <c r="E29">
        <f t="shared" si="1"/>
        <v>68.106214669662094</v>
      </c>
      <c r="F29">
        <v>382.58996053619342</v>
      </c>
      <c r="G29">
        <f t="shared" si="2"/>
        <v>570.89704483907587</v>
      </c>
      <c r="H29">
        <f t="shared" si="3"/>
        <v>0.92230552116801889</v>
      </c>
      <c r="I29">
        <f t="shared" si="4"/>
        <v>526.54149647358577</v>
      </c>
    </row>
    <row r="30" spans="1:9" x14ac:dyDescent="0.3">
      <c r="A30">
        <v>28</v>
      </c>
      <c r="B30">
        <v>3.0000000000000001E-3</v>
      </c>
      <c r="C30">
        <f t="shared" si="5"/>
        <v>2663.5220998518143</v>
      </c>
      <c r="D30">
        <f t="shared" si="0"/>
        <v>1022.153905108295</v>
      </c>
      <c r="E30">
        <f t="shared" si="1"/>
        <v>68.143593673886329</v>
      </c>
      <c r="F30">
        <v>383.18577003178319</v>
      </c>
      <c r="G30">
        <f t="shared" si="2"/>
        <v>570.82454140262541</v>
      </c>
      <c r="H30">
        <f t="shared" si="3"/>
        <v>0.91954688052643974</v>
      </c>
      <c r="I30">
        <f t="shared" si="4"/>
        <v>524.89992637471971</v>
      </c>
    </row>
    <row r="31" spans="1:9" x14ac:dyDescent="0.3">
      <c r="A31">
        <v>29</v>
      </c>
      <c r="B31">
        <v>3.0000000000000001E-3</v>
      </c>
      <c r="C31">
        <f t="shared" si="5"/>
        <v>2666.2047127619098</v>
      </c>
      <c r="D31">
        <f t="shared" si="0"/>
        <v>1022.7714688631837</v>
      </c>
      <c r="E31">
        <f t="shared" si="1"/>
        <v>68.184764590878913</v>
      </c>
      <c r="F31">
        <v>383.70987904365677</v>
      </c>
      <c r="G31">
        <f t="shared" si="2"/>
        <v>570.87682522864804</v>
      </c>
      <c r="H31">
        <f t="shared" si="3"/>
        <v>0.91679649105328009</v>
      </c>
      <c r="I31">
        <f t="shared" si="4"/>
        <v>523.37787019326117</v>
      </c>
    </row>
    <row r="32" spans="1:9" x14ac:dyDescent="0.3">
      <c r="A32">
        <v>30</v>
      </c>
      <c r="B32">
        <v>3.0000000000000001E-3</v>
      </c>
      <c r="C32">
        <f t="shared" si="5"/>
        <v>2669.0282042681511</v>
      </c>
      <c r="D32">
        <f t="shared" si="0"/>
        <v>1023.4211958435012</v>
      </c>
      <c r="E32">
        <f t="shared" si="1"/>
        <v>68.228079722900077</v>
      </c>
      <c r="F32">
        <v>384.04005090222552</v>
      </c>
      <c r="G32">
        <f t="shared" si="2"/>
        <v>571.15306521837556</v>
      </c>
      <c r="H32">
        <f t="shared" si="3"/>
        <v>0.91405432806907294</v>
      </c>
      <c r="I32">
        <f t="shared" si="4"/>
        <v>522.0649312527737</v>
      </c>
    </row>
    <row r="33" spans="1:9" x14ac:dyDescent="0.3">
      <c r="A33">
        <v>31</v>
      </c>
      <c r="B33">
        <v>3.0000000000000001E-3</v>
      </c>
      <c r="C33">
        <f t="shared" si="5"/>
        <v>2671.7785117034982</v>
      </c>
      <c r="D33">
        <f t="shared" si="0"/>
        <v>1024.0538178092579</v>
      </c>
      <c r="E33">
        <f t="shared" si="1"/>
        <v>68.270254520617186</v>
      </c>
      <c r="F33">
        <v>384.09093802089905</v>
      </c>
      <c r="G33">
        <f t="shared" si="2"/>
        <v>571.69262526774162</v>
      </c>
      <c r="H33">
        <f t="shared" si="3"/>
        <v>0.91132036696816865</v>
      </c>
      <c r="I33">
        <f t="shared" si="4"/>
        <v>520.995133051994</v>
      </c>
    </row>
    <row r="34" spans="1:9" x14ac:dyDescent="0.3">
      <c r="A34">
        <v>32</v>
      </c>
      <c r="B34">
        <v>3.0000000000000001E-3</v>
      </c>
      <c r="C34">
        <f t="shared" si="5"/>
        <v>2674.1868051953265</v>
      </c>
      <c r="D34">
        <f t="shared" si="0"/>
        <v>1024.6075563139511</v>
      </c>
      <c r="E34">
        <f t="shared" si="1"/>
        <v>68.307170420930078</v>
      </c>
      <c r="F34">
        <v>383.84503528633542</v>
      </c>
      <c r="G34">
        <f t="shared" si="2"/>
        <v>572.45535060668567</v>
      </c>
      <c r="H34">
        <f t="shared" si="3"/>
        <v>0.90859458321851316</v>
      </c>
      <c r="I34">
        <f t="shared" si="4"/>
        <v>520.12983069568941</v>
      </c>
    </row>
    <row r="35" spans="1:9" x14ac:dyDescent="0.3">
      <c r="A35">
        <v>33</v>
      </c>
      <c r="B35">
        <v>3.0000000000000001E-3</v>
      </c>
      <c r="C35">
        <f t="shared" si="5"/>
        <v>2676.005154025187</v>
      </c>
      <c r="D35">
        <f t="shared" si="0"/>
        <v>1025.0255167931684</v>
      </c>
      <c r="E35">
        <f t="shared" si="1"/>
        <v>68.335034452877892</v>
      </c>
      <c r="F35">
        <v>383.37700651102608</v>
      </c>
      <c r="G35">
        <f t="shared" si="2"/>
        <v>573.31347582926446</v>
      </c>
      <c r="H35">
        <f t="shared" si="3"/>
        <v>0.90587695236142907</v>
      </c>
      <c r="I35">
        <f t="shared" si="4"/>
        <v>519.35146423195192</v>
      </c>
    </row>
    <row r="36" spans="1:9" x14ac:dyDescent="0.3">
      <c r="A36">
        <v>34</v>
      </c>
      <c r="B36">
        <v>3.0000000000000001E-3</v>
      </c>
      <c r="C36">
        <f t="shared" si="5"/>
        <v>2677.0957099611865</v>
      </c>
      <c r="D36">
        <f t="shared" si="0"/>
        <v>1025.2761343749635</v>
      </c>
      <c r="E36">
        <f t="shared" si="1"/>
        <v>68.351742291664237</v>
      </c>
      <c r="F36">
        <v>382.85307464146274</v>
      </c>
      <c r="G36">
        <f t="shared" si="2"/>
        <v>574.07131744183653</v>
      </c>
      <c r="H36">
        <f t="shared" si="3"/>
        <v>0.90316745001139487</v>
      </c>
      <c r="I36">
        <f t="shared" si="4"/>
        <v>518.48252789862545</v>
      </c>
    </row>
    <row r="37" spans="1:9" x14ac:dyDescent="0.3">
      <c r="A37">
        <v>35</v>
      </c>
      <c r="B37">
        <v>3.0000000000000001E-3</v>
      </c>
      <c r="C37">
        <f t="shared" si="5"/>
        <v>2677.5065403224799</v>
      </c>
      <c r="D37">
        <f t="shared" si="0"/>
        <v>1025.3705355506972</v>
      </c>
      <c r="E37">
        <f t="shared" si="1"/>
        <v>68.358035703379812</v>
      </c>
      <c r="F37">
        <v>382.48998449489125</v>
      </c>
      <c r="G37">
        <f t="shared" si="2"/>
        <v>574.52251535242613</v>
      </c>
      <c r="H37">
        <f t="shared" si="3"/>
        <v>0.90046605185582762</v>
      </c>
      <c r="I37">
        <f t="shared" si="4"/>
        <v>517.33802110167824</v>
      </c>
    </row>
    <row r="38" spans="1:9" x14ac:dyDescent="0.3">
      <c r="A38">
        <v>36</v>
      </c>
      <c r="B38">
        <v>3.0000000000000001E-3</v>
      </c>
      <c r="C38">
        <f t="shared" si="5"/>
        <v>2677.4955904855888</v>
      </c>
      <c r="D38">
        <f t="shared" si="0"/>
        <v>1025.3680195569993</v>
      </c>
      <c r="E38">
        <f t="shared" si="1"/>
        <v>68.357867970466629</v>
      </c>
      <c r="F38">
        <v>382.46680123344305</v>
      </c>
      <c r="G38">
        <f t="shared" si="2"/>
        <v>574.54335035308975</v>
      </c>
      <c r="H38">
        <f t="shared" si="3"/>
        <v>0.89777273365486299</v>
      </c>
      <c r="I38">
        <f t="shared" si="4"/>
        <v>515.8093542497171</v>
      </c>
    </row>
    <row r="39" spans="1:9" x14ac:dyDescent="0.3">
      <c r="A39">
        <v>37</v>
      </c>
      <c r="B39">
        <v>3.0000000000000001E-3</v>
      </c>
      <c r="C39">
        <f t="shared" si="5"/>
        <v>2677.4630216496626</v>
      </c>
      <c r="D39">
        <f t="shared" si="0"/>
        <v>1025.3605360434908</v>
      </c>
      <c r="E39">
        <f t="shared" si="1"/>
        <v>68.357369069566047</v>
      </c>
      <c r="F39">
        <v>382.82133915123012</v>
      </c>
      <c r="G39">
        <f t="shared" si="2"/>
        <v>574.18182782269457</v>
      </c>
      <c r="H39">
        <f t="shared" si="3"/>
        <v>0.89508747124113963</v>
      </c>
      <c r="I39">
        <f t="shared" si="4"/>
        <v>513.9429602984311</v>
      </c>
    </row>
    <row r="40" spans="1:9" x14ac:dyDescent="0.3">
      <c r="A40">
        <v>38</v>
      </c>
      <c r="B40">
        <v>3.0000000000000001E-3</v>
      </c>
      <c r="C40">
        <f t="shared" si="5"/>
        <v>2677.7896434223694</v>
      </c>
      <c r="D40">
        <f t="shared" si="0"/>
        <v>1025.4355840055512</v>
      </c>
      <c r="E40">
        <f t="shared" si="1"/>
        <v>68.362372267036747</v>
      </c>
      <c r="F40">
        <v>383.41744717397</v>
      </c>
      <c r="G40">
        <f t="shared" si="2"/>
        <v>573.65576456454437</v>
      </c>
      <c r="H40">
        <f t="shared" si="3"/>
        <v>0.89241024051958118</v>
      </c>
      <c r="I40">
        <f t="shared" si="4"/>
        <v>511.9362788304893</v>
      </c>
    </row>
    <row r="41" spans="1:9" x14ac:dyDescent="0.3">
      <c r="A41">
        <v>39</v>
      </c>
      <c r="B41">
        <v>3.0000000000000001E-3</v>
      </c>
      <c r="C41">
        <f t="shared" si="5"/>
        <v>2678.6657129645728</v>
      </c>
      <c r="D41">
        <f t="shared" si="0"/>
        <v>1025.6368606321596</v>
      </c>
      <c r="E41">
        <f t="shared" si="1"/>
        <v>68.375790708810641</v>
      </c>
      <c r="F41">
        <v>384.08558088480305</v>
      </c>
      <c r="G41">
        <f t="shared" si="2"/>
        <v>573.17548903854595</v>
      </c>
      <c r="H41">
        <f t="shared" si="3"/>
        <v>0.88974101746717971</v>
      </c>
      <c r="I41">
        <f t="shared" si="4"/>
        <v>509.97774280440416</v>
      </c>
    </row>
    <row r="42" spans="1:9" x14ac:dyDescent="0.3">
      <c r="A42">
        <v>40</v>
      </c>
      <c r="B42">
        <v>3.0000000000000001E-3</v>
      </c>
      <c r="C42">
        <f t="shared" si="5"/>
        <v>2680.0847634258657</v>
      </c>
      <c r="D42">
        <f t="shared" si="0"/>
        <v>1025.962831047678</v>
      </c>
      <c r="E42">
        <f t="shared" si="1"/>
        <v>68.397522069845195</v>
      </c>
      <c r="F42">
        <v>384.83142257759522</v>
      </c>
      <c r="G42">
        <f t="shared" si="2"/>
        <v>572.73388640023757</v>
      </c>
      <c r="H42">
        <f t="shared" si="3"/>
        <v>0.88707977813278149</v>
      </c>
      <c r="I42">
        <f t="shared" si="4"/>
        <v>508.06064887704844</v>
      </c>
    </row>
    <row r="43" spans="1:9" x14ac:dyDescent="0.3">
      <c r="A43">
        <v>41</v>
      </c>
      <c r="B43">
        <v>3.0000000000000001E-3</v>
      </c>
      <c r="C43">
        <f t="shared" si="5"/>
        <v>2682.0469340854802</v>
      </c>
      <c r="D43">
        <f t="shared" si="0"/>
        <v>1026.413448025347</v>
      </c>
      <c r="E43">
        <f t="shared" si="1"/>
        <v>68.427563201689793</v>
      </c>
      <c r="F43">
        <v>385.4677044789529</v>
      </c>
      <c r="G43">
        <f t="shared" si="2"/>
        <v>572.51818034470421</v>
      </c>
      <c r="H43">
        <f t="shared" si="3"/>
        <v>0.88442649863687106</v>
      </c>
      <c r="I43">
        <f t="shared" si="4"/>
        <v>506.35024964821946</v>
      </c>
    </row>
    <row r="44" spans="1:9" x14ac:dyDescent="0.3">
      <c r="A44">
        <v>42</v>
      </c>
      <c r="B44">
        <v>3.0000000000000001E-3</v>
      </c>
      <c r="C44">
        <f t="shared" si="5"/>
        <v>2684.3650765522216</v>
      </c>
      <c r="D44">
        <f t="shared" si="0"/>
        <v>1026.9456448554897</v>
      </c>
      <c r="E44">
        <f t="shared" si="1"/>
        <v>68.463042990365977</v>
      </c>
      <c r="F44">
        <v>384.01770001339116</v>
      </c>
      <c r="G44">
        <f t="shared" si="2"/>
        <v>574.46490185173252</v>
      </c>
      <c r="H44">
        <f t="shared" si="3"/>
        <v>0.88178115517135724</v>
      </c>
      <c r="I44">
        <f t="shared" si="4"/>
        <v>506.55232476022104</v>
      </c>
    </row>
    <row r="45" spans="1:9" x14ac:dyDescent="0.3">
      <c r="A45">
        <v>43</v>
      </c>
      <c r="B45">
        <v>3.0000000000000001E-3</v>
      </c>
      <c r="C45">
        <f t="shared" si="5"/>
        <v>2684.9020513438672</v>
      </c>
      <c r="D45">
        <f t="shared" si="0"/>
        <v>1027.0688967637968</v>
      </c>
      <c r="E45">
        <f t="shared" si="1"/>
        <v>68.471259784253121</v>
      </c>
      <c r="F45">
        <v>377.24220524626162</v>
      </c>
      <c r="G45">
        <f t="shared" si="2"/>
        <v>581.3554317332821</v>
      </c>
      <c r="H45">
        <f t="shared" si="3"/>
        <v>0.87914372399935892</v>
      </c>
      <c r="I45">
        <f t="shared" si="4"/>
        <v>511.09497922125269</v>
      </c>
    </row>
    <row r="46" spans="1:9" x14ac:dyDescent="0.3">
      <c r="A46">
        <v>44</v>
      </c>
      <c r="B46">
        <v>3.0000000000000001E-3</v>
      </c>
      <c r="C46">
        <f t="shared" si="5"/>
        <v>2678.5868206838622</v>
      </c>
      <c r="D46">
        <f t="shared" si="0"/>
        <v>1025.6187362411945</v>
      </c>
      <c r="E46">
        <f t="shared" si="1"/>
        <v>68.374582416079633</v>
      </c>
      <c r="F46">
        <v>373.69974029698921</v>
      </c>
      <c r="G46">
        <f t="shared" si="2"/>
        <v>583.54441352812569</v>
      </c>
      <c r="H46">
        <f t="shared" si="3"/>
        <v>0.87651418145499405</v>
      </c>
      <c r="I46">
        <f t="shared" si="4"/>
        <v>511.48495396623963</v>
      </c>
    </row>
    <row r="47" spans="1:9" x14ac:dyDescent="0.3">
      <c r="A47">
        <v>45</v>
      </c>
      <c r="B47">
        <v>3.0000000000000001E-3</v>
      </c>
      <c r="C47">
        <f t="shared" si="5"/>
        <v>2669.6313008831571</v>
      </c>
      <c r="D47">
        <f t="shared" si="0"/>
        <v>1023.5599416163479</v>
      </c>
      <c r="E47">
        <f t="shared" si="1"/>
        <v>68.237329441089855</v>
      </c>
      <c r="F47">
        <v>382.1241828978209</v>
      </c>
      <c r="G47">
        <f t="shared" si="2"/>
        <v>573.19842927743719</v>
      </c>
      <c r="H47">
        <f t="shared" si="3"/>
        <v>0.87389250394316476</v>
      </c>
      <c r="I47">
        <f t="shared" si="4"/>
        <v>500.91381061754862</v>
      </c>
    </row>
    <row r="48" spans="1:9" x14ac:dyDescent="0.3">
      <c r="A48">
        <v>46</v>
      </c>
      <c r="B48">
        <v>3.0000000000000001E-3</v>
      </c>
      <c r="C48">
        <f t="shared" si="5"/>
        <v>2670.3795836548129</v>
      </c>
      <c r="D48">
        <f t="shared" si="0"/>
        <v>1023.7320708551478</v>
      </c>
      <c r="E48">
        <f t="shared" si="1"/>
        <v>68.248804723676514</v>
      </c>
      <c r="F48">
        <v>244.34471840125474</v>
      </c>
      <c r="G48">
        <f t="shared" si="2"/>
        <v>711.1385477302166</v>
      </c>
      <c r="H48">
        <f t="shared" si="3"/>
        <v>0.87127866793934705</v>
      </c>
      <c r="I48">
        <f t="shared" si="4"/>
        <v>619.59984658670487</v>
      </c>
    </row>
    <row r="49" spans="1:9" x14ac:dyDescent="0.3">
      <c r="A49">
        <v>47</v>
      </c>
      <c r="B49">
        <v>3.0000000000000001E-3</v>
      </c>
      <c r="C49">
        <f t="shared" si="5"/>
        <v>2533.2415043910946</v>
      </c>
      <c r="D49">
        <f t="shared" si="0"/>
        <v>991.85563806009009</v>
      </c>
      <c r="E49">
        <f t="shared" si="1"/>
        <v>66.123709204006005</v>
      </c>
      <c r="F49">
        <v>601.96749254528095</v>
      </c>
      <c r="G49">
        <f t="shared" si="2"/>
        <v>323.76443631080315</v>
      </c>
      <c r="H49">
        <f t="shared" si="3"/>
        <v>0.86867264998937888</v>
      </c>
      <c r="I49">
        <f t="shared" si="4"/>
        <v>281.24531086242285</v>
      </c>
    </row>
    <row r="50" spans="1:9" x14ac:dyDescent="0.3">
      <c r="A50">
        <v>48</v>
      </c>
      <c r="B50">
        <v>3.0000000000000001E-3</v>
      </c>
      <c r="C50">
        <f t="shared" si="5"/>
        <v>2773.3173534519337</v>
      </c>
      <c r="D50">
        <f t="shared" si="0"/>
        <v>1047.2304243592037</v>
      </c>
      <c r="E50">
        <f t="shared" si="1"/>
        <v>69.815361623946913</v>
      </c>
      <c r="F50">
        <v>677.5254544130164</v>
      </c>
      <c r="G50">
        <f t="shared" si="2"/>
        <v>299.88960832224035</v>
      </c>
      <c r="H50">
        <f t="shared" si="3"/>
        <v>0.86607442670925128</v>
      </c>
      <c r="I50">
        <f t="shared" si="4"/>
        <v>259.72672060374623</v>
      </c>
    </row>
    <row r="51" spans="1:9" x14ac:dyDescent="0.3">
      <c r="A51">
        <v>49</v>
      </c>
      <c r="B51">
        <v>3.0000000000000001E-3</v>
      </c>
      <c r="C51">
        <f t="shared" si="5"/>
        <v>3054.654614514674</v>
      </c>
      <c r="D51">
        <f t="shared" si="0"/>
        <v>1109.7362605671738</v>
      </c>
      <c r="E51">
        <f t="shared" si="1"/>
        <v>73.982417371144919</v>
      </c>
      <c r="F51">
        <v>748.13562226282522</v>
      </c>
      <c r="G51">
        <f t="shared" si="2"/>
        <v>287.61822093320359</v>
      </c>
      <c r="H51">
        <f t="shared" si="3"/>
        <v>0.86348397478489658</v>
      </c>
      <c r="I51">
        <f t="shared" si="4"/>
        <v>248.35372463196319</v>
      </c>
    </row>
    <row r="52" spans="1:9" x14ac:dyDescent="0.3">
      <c r="A52">
        <v>50</v>
      </c>
      <c r="B52">
        <v>3.0000000000000001E-3</v>
      </c>
      <c r="C52">
        <f t="shared" si="5"/>
        <v>3366.4110061325459</v>
      </c>
      <c r="D52">
        <f t="shared" si="0"/>
        <v>1176.3668896992215</v>
      </c>
      <c r="E52">
        <f t="shared" si="1"/>
        <v>78.424459313281432</v>
      </c>
      <c r="F52">
        <v>813.53512035167489</v>
      </c>
      <c r="G52">
        <f t="shared" si="2"/>
        <v>284.40731003426515</v>
      </c>
      <c r="H52">
        <f t="shared" si="3"/>
        <v>0.86090127097198077</v>
      </c>
      <c r="I52">
        <f t="shared" si="4"/>
        <v>244.84661468222106</v>
      </c>
    </row>
    <row r="53" spans="1:9" x14ac:dyDescent="0.3">
      <c r="A53">
        <v>51</v>
      </c>
      <c r="B53">
        <v>3.0000000000000001E-3</v>
      </c>
      <c r="C53">
        <f t="shared" si="5"/>
        <v>3699.0302684652856</v>
      </c>
      <c r="D53">
        <f t="shared" si="0"/>
        <v>1244.7875629145542</v>
      </c>
      <c r="E53">
        <f t="shared" si="1"/>
        <v>82.985837527636946</v>
      </c>
      <c r="F53">
        <v>8.2800335647701638E-3</v>
      </c>
      <c r="G53">
        <f t="shared" si="2"/>
        <v>1161.7934453533526</v>
      </c>
      <c r="H53">
        <f t="shared" si="3"/>
        <v>0.85832629209569378</v>
      </c>
      <c r="I53">
        <f t="shared" si="4"/>
        <v>997.19786013122416</v>
      </c>
    </row>
    <row r="54" spans="1:9" x14ac:dyDescent="0.3">
      <c r="A54">
        <v>52</v>
      </c>
      <c r="B54">
        <v>3.0000000000000001E-3</v>
      </c>
      <c r="C54">
        <f t="shared" si="5"/>
        <v>3170.6056530038099</v>
      </c>
      <c r="D54">
        <f t="shared" si="0"/>
        <v>1134.8222629661982</v>
      </c>
      <c r="E54">
        <f t="shared" si="1"/>
        <v>75.654817531079885</v>
      </c>
      <c r="F54">
        <v>1.2309151668129245E-2</v>
      </c>
      <c r="G54">
        <f t="shared" si="2"/>
        <v>1059.15513628345</v>
      </c>
      <c r="H54">
        <f t="shared" si="3"/>
        <v>0.8557590150505423</v>
      </c>
      <c r="I54">
        <f t="shared" si="4"/>
        <v>906.3815562116481</v>
      </c>
    </row>
    <row r="55" spans="1:9" x14ac:dyDescent="0.3">
      <c r="A55">
        <v>53</v>
      </c>
      <c r="B55">
        <v>3.0000000000000001E-3</v>
      </c>
      <c r="C55">
        <f t="shared" si="5"/>
        <v>2717.6742974406479</v>
      </c>
      <c r="D55">
        <f t="shared" si="0"/>
        <v>1034.5725558044887</v>
      </c>
      <c r="E55">
        <f t="shared" si="1"/>
        <v>68.971503720299253</v>
      </c>
      <c r="F55">
        <v>1.6208765420200746E-2</v>
      </c>
      <c r="G55">
        <f t="shared" si="2"/>
        <v>965.58484331876923</v>
      </c>
      <c r="H55">
        <f t="shared" si="3"/>
        <v>0.853199416800142</v>
      </c>
      <c r="I55">
        <f t="shared" si="4"/>
        <v>823.83642519063039</v>
      </c>
    </row>
    <row r="56" spans="1:9" x14ac:dyDescent="0.3">
      <c r="A56">
        <v>54</v>
      </c>
      <c r="B56">
        <v>3.0000000000000001E-3</v>
      </c>
      <c r="C56">
        <f t="shared" si="5"/>
        <v>2329.4513208574044</v>
      </c>
      <c r="D56">
        <f t="shared" si="0"/>
        <v>943.18023888808887</v>
      </c>
      <c r="E56">
        <f t="shared" si="1"/>
        <v>62.878682592539256</v>
      </c>
      <c r="F56">
        <v>1.7826593830527322E-2</v>
      </c>
      <c r="G56">
        <f t="shared" si="2"/>
        <v>880.28372970171915</v>
      </c>
      <c r="H56">
        <f t="shared" si="3"/>
        <v>0.85064747437701116</v>
      </c>
      <c r="I56">
        <f t="shared" si="4"/>
        <v>748.811131405943</v>
      </c>
    </row>
    <row r="57" spans="1:9" x14ac:dyDescent="0.3">
      <c r="A57">
        <v>55</v>
      </c>
      <c r="B57">
        <v>3.0000000000000001E-3</v>
      </c>
      <c r="C57">
        <f t="shared" si="5"/>
        <v>1996.6903873287488</v>
      </c>
      <c r="D57">
        <f t="shared" si="0"/>
        <v>859.86237454057323</v>
      </c>
      <c r="E57">
        <f t="shared" si="1"/>
        <v>57.32415830270488</v>
      </c>
      <c r="F57">
        <v>1.7245224599186842E-2</v>
      </c>
      <c r="G57">
        <f t="shared" si="2"/>
        <v>802.52097101326922</v>
      </c>
      <c r="H57">
        <f t="shared" si="3"/>
        <v>0.84810316488236415</v>
      </c>
      <c r="I57">
        <f t="shared" si="4"/>
        <v>680.62057540082162</v>
      </c>
    </row>
    <row r="58" spans="1:9" x14ac:dyDescent="0.3">
      <c r="A58">
        <v>56</v>
      </c>
      <c r="B58">
        <v>3.0000000000000001E-3</v>
      </c>
      <c r="C58">
        <f t="shared" si="5"/>
        <v>1711.4661486492412</v>
      </c>
      <c r="D58">
        <f t="shared" si="0"/>
        <v>783.90511382695047</v>
      </c>
      <c r="E58">
        <f t="shared" si="1"/>
        <v>52.260340921796697</v>
      </c>
      <c r="F58">
        <v>0.17383312623890157</v>
      </c>
      <c r="G58">
        <f t="shared" si="2"/>
        <v>731.47093977891484</v>
      </c>
      <c r="H58">
        <f t="shared" si="3"/>
        <v>0.84556646548590664</v>
      </c>
      <c r="I58">
        <f t="shared" si="4"/>
        <v>618.50729715451143</v>
      </c>
    </row>
    <row r="59" spans="1:9" x14ac:dyDescent="0.3">
      <c r="A59">
        <v>57</v>
      </c>
      <c r="B59">
        <v>3.0000000000000001E-3</v>
      </c>
      <c r="C59">
        <f t="shared" si="5"/>
        <v>1467.1448176827314</v>
      </c>
      <c r="D59">
        <f t="shared" si="0"/>
        <v>714.70414327717208</v>
      </c>
      <c r="E59">
        <f t="shared" si="1"/>
        <v>47.646942885144803</v>
      </c>
      <c r="F59">
        <v>0</v>
      </c>
      <c r="G59">
        <f t="shared" si="2"/>
        <v>667.05720039202731</v>
      </c>
      <c r="H59">
        <f t="shared" si="3"/>
        <v>0.84303735342562969</v>
      </c>
      <c r="I59">
        <f t="shared" si="4"/>
        <v>562.35413680200463</v>
      </c>
    </row>
    <row r="60" spans="1:9" x14ac:dyDescent="0.3">
      <c r="A60">
        <v>58</v>
      </c>
      <c r="B60">
        <v>3.0000000000000001E-3</v>
      </c>
      <c r="C60">
        <f t="shared" si="5"/>
        <v>1257.5527008709128</v>
      </c>
      <c r="D60">
        <f t="shared" si="0"/>
        <v>651.56571814759104</v>
      </c>
      <c r="E60">
        <f t="shared" si="1"/>
        <v>43.437714543172739</v>
      </c>
      <c r="F60">
        <v>0</v>
      </c>
      <c r="G60">
        <f t="shared" si="2"/>
        <v>608.12800360441827</v>
      </c>
      <c r="H60">
        <f t="shared" si="3"/>
        <v>0.84051580600760711</v>
      </c>
      <c r="I60">
        <f t="shared" si="4"/>
        <v>511.14119910536465</v>
      </c>
    </row>
    <row r="61" spans="1:9" x14ac:dyDescent="0.3">
      <c r="A61">
        <v>59</v>
      </c>
      <c r="B61">
        <v>3.0000000000000001E-3</v>
      </c>
      <c r="C61">
        <f t="shared" si="5"/>
        <v>1077.9023150322109</v>
      </c>
      <c r="D61">
        <f t="shared" si="0"/>
        <v>594.00507057161997</v>
      </c>
      <c r="E61">
        <f t="shared" si="1"/>
        <v>39.600338038107999</v>
      </c>
      <c r="F61">
        <v>0</v>
      </c>
      <c r="G61">
        <f t="shared" si="2"/>
        <v>554.40473253351195</v>
      </c>
      <c r="H61">
        <f t="shared" si="3"/>
        <v>0.83800180060578966</v>
      </c>
      <c r="I61">
        <f t="shared" si="4"/>
        <v>464.59216412745423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Задача 3</vt:lpstr>
      <vt:lpstr>сценарий 1</vt:lpstr>
      <vt:lpstr>сценарий 2</vt:lpstr>
      <vt:lpstr>сценарий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Ясмин Зитуна</dc:creator>
  <cp:lastModifiedBy>Ясмин Зитуна</cp:lastModifiedBy>
  <dcterms:created xsi:type="dcterms:W3CDTF">2025-12-17T14:15:37Z</dcterms:created>
  <dcterms:modified xsi:type="dcterms:W3CDTF">2025-12-17T22:46:20Z</dcterms:modified>
</cp:coreProperties>
</file>